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charts/chart2.xml" ContentType="application/vnd.openxmlformats-officedocument.drawingml.chart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drawings/drawing12.xml" ContentType="application/vnd.openxmlformats-officedocument.drawing+xml"/>
  <Override PartName="/xl/charts/chart4.xml" ContentType="application/vnd.openxmlformats-officedocument.drawingml.chart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6.xml" ContentType="application/vnd.openxmlformats-officedocument.drawingml.chart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7.xml" ContentType="application/vnd.openxmlformats-officedocument.drawingml.chart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olikseguros-my.sharepoint.com/personal/renan_illipronti_olik_com_br/Documents/Documentos/COISAS RENAN/ATHENAS GYM/"/>
    </mc:Choice>
  </mc:AlternateContent>
  <xr:revisionPtr revIDLastSave="0" documentId="8_{D6FE7679-E73D-4FD1-9858-3821B903C51F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00_LOGIN" sheetId="1" r:id="rId1"/>
    <sheet name="21_HOME" sheetId="2" r:id="rId2"/>
    <sheet name="01_DASHBOARD" sheetId="3" r:id="rId3"/>
    <sheet name="FORM_ALUNO" sheetId="4" r:id="rId4"/>
    <sheet name="02_ALUNOS" sheetId="5" r:id="rId5"/>
    <sheet name="03_MENSALIDADES" sheetId="6" r:id="rId6"/>
    <sheet name="04_FINANCEIRO" sheetId="7" r:id="rId7"/>
    <sheet name="05_FLUXO_CAIXA" sheetId="8" r:id="rId8"/>
    <sheet name="06_CONTAS_RECEBER" sheetId="9" r:id="rId9"/>
    <sheet name="07_CONTAS_PAGAR" sheetId="10" r:id="rId10"/>
    <sheet name="08_PROFESSORES" sheetId="11" r:id="rId11"/>
    <sheet name="09_ESTOQUE" sheetId="12" r:id="rId12"/>
    <sheet name="10_EQUIPAMENTOS" sheetId="13" r:id="rId13"/>
    <sheet name="11_AVALIACAO" sheetId="14" r:id="rId14"/>
    <sheet name="12_PRESENCA" sheetId="15" r:id="rId15"/>
    <sheet name="13_DASH_FINANCEIRO" sheetId="16" r:id="rId16"/>
    <sheet name="14_DASH_COMERCIAL" sheetId="17" r:id="rId17"/>
    <sheet name="17_DASH_PROFESSORES" sheetId="18" r:id="rId18"/>
    <sheet name="18_DASH_ESTOQUE" sheetId="19" r:id="rId19"/>
    <sheet name="19_DASH_EQUIPAMENTOS" sheetId="20" r:id="rId20"/>
    <sheet name="20_AGENDA" sheetId="21" r:id="rId21"/>
    <sheet name="22_CRM" sheetId="22" r:id="rId22"/>
    <sheet name="23_DASH_CRM" sheetId="23" r:id="rId23"/>
    <sheet name="24_AVALIACAO" sheetId="24" r:id="rId24"/>
    <sheet name="25_TREINOS" sheetId="25" r:id="rId25"/>
    <sheet name="26_ACESSO" sheetId="26" r:id="rId26"/>
    <sheet name="27_DASH_FREQUENCIA" sheetId="27" r:id="rId27"/>
    <sheet name="28_PDV" sheetId="28" r:id="rId28"/>
    <sheet name="29_INVENTARIO" sheetId="29" r:id="rId29"/>
    <sheet name="30_DASH_PDV" sheetId="30" r:id="rId30"/>
    <sheet name="31_BI_EXECUTIVO" sheetId="31" r:id="rId31"/>
    <sheet name="32_INSIGHTS" sheetId="32" r:id="rId32"/>
    <sheet name="33_PORTAL_ALUNO" sheetId="33" r:id="rId33"/>
    <sheet name="34_PORTAL_PROF" sheetId="34" r:id="rId34"/>
    <sheet name="35_PORTAL_OPS" sheetId="35" r:id="rId35"/>
    <sheet name="36_ATHENA_AI" sheetId="36" r:id="rId36"/>
    <sheet name="37_RECOMENDACOES" sheetId="37" r:id="rId37"/>
    <sheet name="38_MASTER" sheetId="38" r:id="rId38"/>
    <sheet name="39_NOVA_ACADEMIA" sheetId="39" r:id="rId39"/>
    <sheet name="40_UNIDADES" sheetId="40" r:id="rId40"/>
    <sheet name="41_FRANQUEADORA" sheetId="41" r:id="rId41"/>
    <sheet name="16_RELATORIOS" sheetId="42" r:id="rId42"/>
    <sheet name="15_CONFIG" sheetId="43" r:id="rId43"/>
    <sheet name="BD_USUARIOS" sheetId="44" state="veryHidden" r:id="rId44"/>
    <sheet name="BD_SESSAO" sheetId="45" state="veryHidden" r:id="rId45"/>
    <sheet name="BD_ALUNOS" sheetId="46" state="veryHidden" r:id="rId46"/>
    <sheet name="BD_CONTAS_RECEBER" sheetId="47" state="veryHidden" r:id="rId47"/>
    <sheet name="BD_CONTAS_PAGAR" sheetId="48" state="veryHidden" r:id="rId48"/>
    <sheet name="BD_LANCAMENTOS" sheetId="49" state="veryHidden" r:id="rId49"/>
    <sheet name="BD_FLUXO_CAIXA" sheetId="50" state="veryHidden" r:id="rId50"/>
    <sheet name="BD_PARAMETROS" sheetId="51" state="veryHidden" r:id="rId51"/>
    <sheet name="BD_PLANOS" sheetId="52" state="veryHidden" r:id="rId52"/>
    <sheet name="BD_FORMAS_PAGAMENTO" sheetId="53" state="veryHidden" r:id="rId53"/>
    <sheet name="BD_STATUS" sheetId="54" state="veryHidden" r:id="rId54"/>
    <sheet name="BD_PERMISSOES" sheetId="55" state="veryHidden" r:id="rId55"/>
    <sheet name="BD_CORES" sheetId="56" state="veryHidden" r:id="rId56"/>
    <sheet name="BD_METAS" sheetId="57" state="veryHidden" r:id="rId57"/>
    <sheet name="BD_NOTIFICACOES" sheetId="58" state="veryHidden" r:id="rId58"/>
    <sheet name="BD_EVENTOS" sheetId="59" state="veryHidden" r:id="rId59"/>
    <sheet name="BD_PRIORIDADES" sheetId="60" state="veryHidden" r:id="rId60"/>
    <sheet name="BD_LEADS" sheetId="61" state="veryHidden" r:id="rId61"/>
    <sheet name="BD_CRM_HISTORICO" sheetId="62" state="veryHidden" r:id="rId62"/>
    <sheet name="BD_RETENCAO" sheetId="63" state="veryHidden" r:id="rId63"/>
    <sheet name="BD_CAMPANHAS" sheetId="64" state="veryHidden" r:id="rId64"/>
    <sheet name="BD_INDICACOES" sheetId="65" state="veryHidden" r:id="rId65"/>
    <sheet name="BD_AVALIACOES" sheetId="66" state="veryHidden" r:id="rId66"/>
    <sheet name="BD_MEDIDAS" sheetId="67" state="veryHidden" r:id="rId67"/>
    <sheet name="BD_TREINOS" sheetId="68" state="veryHidden" r:id="rId68"/>
    <sheet name="BD_EXERCICIOS" sheetId="69" state="veryHidden" r:id="rId69"/>
    <sheet name="BD_TREINO_ITENS" sheetId="70" state="veryHidden" r:id="rId70"/>
    <sheet name="BD_FOTOS" sheetId="71" state="veryHidden" r:id="rId71"/>
    <sheet name="BD_ACESSOS" sheetId="72" state="veryHidden" r:id="rId72"/>
    <sheet name="BD_PRESENCAS" sheetId="73" state="veryHidden" r:id="rId73"/>
    <sheet name="BD_UNIDADES" sheetId="74" state="veryHidden" r:id="rId74"/>
    <sheet name="BD_PARAMETROS_UNIDADE" sheetId="75" state="veryHidden" r:id="rId75"/>
    <sheet name="BD_PROFESSOR_UNIDADE" sheetId="76" state="veryHidden" r:id="rId76"/>
    <sheet name="BD_TRANSFERENCIAS" sheetId="77" state="veryHidden" r:id="rId77"/>
    <sheet name="BD_USUARIO_UNIDADE" sheetId="78" state="veryHidden" r:id="rId78"/>
    <sheet name="BD_PRODUTOS" sheetId="79" state="veryHidden" r:id="rId79"/>
    <sheet name="BD_FORNECEDORES" sheetId="80" state="veryHidden" r:id="rId80"/>
    <sheet name="BD_COMPRAS" sheetId="81" state="veryHidden" r:id="rId81"/>
    <sheet name="BD_MOVIMENTACAO_ESTOQUE" sheetId="82" state="veryHidden" r:id="rId82"/>
    <sheet name="BD_LOTES" sheetId="83" state="veryHidden" r:id="rId83"/>
    <sheet name="BD_VENDAS" sheetId="84" state="veryHidden" r:id="rId84"/>
    <sheet name="BD_VENDA_ITENS" sheetId="85" state="veryHidden" r:id="rId85"/>
    <sheet name="BD_KITS" sheetId="86" state="veryHidden" r:id="rId86"/>
    <sheet name="BD_KIT_ITENS" sheetId="87" state="veryHidden" r:id="rId87"/>
    <sheet name="BD_INDICADORES" sheetId="88" state="veryHidden" r:id="rId88"/>
    <sheet name="BD_INSIGHTS" sheetId="89" state="veryHidden" r:id="rId89"/>
    <sheet name="BD_PREVISOES" sheetId="90" state="veryHidden" r:id="rId90"/>
    <sheet name="BD_RISCO_RETENCAO" sheetId="91" state="veryHidden" r:id="rId91"/>
    <sheet name="BD_CHAT" sheetId="92" state="veryHidden" r:id="rId92"/>
    <sheet name="BD_METAS_ALUNO" sheetId="93" state="veryHidden" r:id="rId93"/>
    <sheet name="BD_PORTAL_TOKENS" sheetId="94" state="veryHidden" r:id="rId94"/>
    <sheet name="BD_DESAFIOS" sheetId="95" state="veryHidden" r:id="rId95"/>
    <sheet name="BD_PUSH" sheetId="96" state="veryHidden" r:id="rId96"/>
    <sheet name="BD_RECOMENDACOES" sheetId="97" state="veryHidden" r:id="rId97"/>
    <sheet name="BD_ATHENA_CHAT" sheetId="98" state="veryHidden" r:id="rId98"/>
    <sheet name="BD_EMPRESAS" sheetId="99" state="veryHidden" r:id="rId99"/>
    <sheet name="BD_LICENCAS" sheetId="100" state="veryHidden" r:id="rId100"/>
    <sheet name="BD_CONFIG_EMPRESA" sheetId="101" state="veryHidden" r:id="rId101"/>
    <sheet name="BD_FRANQUEADORAS" sheetId="102" state="veryHidden" r:id="rId102"/>
    <sheet name="BD_FRANQUEADOS" sheetId="103" state="veryHidden" r:id="rId103"/>
    <sheet name="BD_CONTRATOS_FRANQUIA" sheetId="104" state="veryHidden" r:id="rId104"/>
    <sheet name="BD_ROYALTIES" sheetId="105" state="veryHidden" r:id="rId105"/>
    <sheet name="BI_BASE" sheetId="106" state="veryHidden" r:id="rId106"/>
    <sheet name="VERSAO" sheetId="107" state="veryHidden" r:id="rId107"/>
    <sheet name="LOG" sheetId="108" state="veryHidden" r:id="rId10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42" l="1"/>
  <c r="C2" i="42"/>
  <c r="K2" i="41"/>
  <c r="C2" i="41"/>
  <c r="K2" i="40"/>
  <c r="C2" i="40"/>
  <c r="L2" i="39"/>
  <c r="C2" i="39"/>
  <c r="L2" i="38"/>
  <c r="C2" i="38"/>
  <c r="L2" i="37"/>
  <c r="C2" i="37"/>
  <c r="L2" i="36"/>
  <c r="C2" i="36"/>
  <c r="L2" i="35"/>
  <c r="C2" i="35"/>
  <c r="L2" i="34"/>
  <c r="C2" i="34"/>
  <c r="L2" i="33"/>
  <c r="C2" i="33"/>
  <c r="L2" i="32"/>
  <c r="C2" i="32"/>
  <c r="L2" i="31"/>
  <c r="C2" i="31"/>
  <c r="L2" i="30"/>
  <c r="C2" i="30"/>
  <c r="L2" i="29"/>
  <c r="C2" i="29"/>
  <c r="L2" i="28"/>
  <c r="C2" i="28"/>
  <c r="L2" i="27"/>
  <c r="C2" i="27"/>
  <c r="L2" i="26"/>
  <c r="C2" i="26"/>
  <c r="L2" i="25"/>
  <c r="C2" i="25"/>
  <c r="M2" i="24"/>
  <c r="C2" i="24"/>
  <c r="L2" i="23"/>
  <c r="C2" i="23"/>
  <c r="M2" i="22"/>
  <c r="C2" i="22"/>
  <c r="E47" i="21"/>
  <c r="E46" i="21"/>
  <c r="E45" i="21"/>
  <c r="E44" i="21"/>
  <c r="E43" i="21"/>
  <c r="E42" i="21"/>
  <c r="E41" i="21"/>
  <c r="I8" i="21"/>
  <c r="G8" i="21"/>
  <c r="E8" i="21"/>
  <c r="C8" i="21"/>
  <c r="M2" i="21"/>
  <c r="C2" i="21"/>
  <c r="C21" i="20"/>
  <c r="C20" i="20"/>
  <c r="C19" i="20"/>
  <c r="C18" i="20"/>
  <c r="C17" i="20"/>
  <c r="C16" i="20"/>
  <c r="C15" i="20"/>
  <c r="C14" i="20"/>
  <c r="I8" i="20"/>
  <c r="E8" i="20"/>
  <c r="C8" i="20"/>
  <c r="K2" i="20"/>
  <c r="C2" i="20"/>
  <c r="E21" i="19"/>
  <c r="D21" i="19"/>
  <c r="C21" i="19"/>
  <c r="E20" i="19"/>
  <c r="D20" i="19"/>
  <c r="C20" i="19"/>
  <c r="E19" i="19"/>
  <c r="D19" i="19"/>
  <c r="C19" i="19"/>
  <c r="E18" i="19"/>
  <c r="D18" i="19"/>
  <c r="C18" i="19"/>
  <c r="E17" i="19"/>
  <c r="D17" i="19"/>
  <c r="C17" i="19"/>
  <c r="E16" i="19"/>
  <c r="D16" i="19"/>
  <c r="C16" i="19"/>
  <c r="E15" i="19"/>
  <c r="D15" i="19"/>
  <c r="C15" i="19"/>
  <c r="E14" i="19"/>
  <c r="D14" i="19"/>
  <c r="C14" i="19"/>
  <c r="I8" i="19"/>
  <c r="G8" i="19"/>
  <c r="E8" i="19"/>
  <c r="C8" i="19"/>
  <c r="K2" i="19"/>
  <c r="C2" i="19"/>
  <c r="E23" i="18"/>
  <c r="D23" i="18"/>
  <c r="C23" i="18"/>
  <c r="E22" i="18"/>
  <c r="F22" i="18" s="1"/>
  <c r="D22" i="18"/>
  <c r="C22" i="18"/>
  <c r="F21" i="18"/>
  <c r="E21" i="18"/>
  <c r="D21" i="18"/>
  <c r="C21" i="18"/>
  <c r="E20" i="18"/>
  <c r="D20" i="18"/>
  <c r="C20" i="18"/>
  <c r="E19" i="18"/>
  <c r="F19" i="18" s="1"/>
  <c r="D19" i="18"/>
  <c r="C19" i="18"/>
  <c r="E18" i="18"/>
  <c r="D18" i="18"/>
  <c r="C18" i="18"/>
  <c r="E17" i="18"/>
  <c r="D17" i="18"/>
  <c r="C17" i="18"/>
  <c r="E16" i="18"/>
  <c r="F23" i="18" s="1"/>
  <c r="D16" i="18"/>
  <c r="C16" i="18"/>
  <c r="E15" i="18"/>
  <c r="D15" i="18"/>
  <c r="C15" i="18"/>
  <c r="E14" i="18"/>
  <c r="D14" i="18"/>
  <c r="C14" i="18"/>
  <c r="I8" i="18"/>
  <c r="G8" i="18"/>
  <c r="E8" i="18"/>
  <c r="C8" i="18"/>
  <c r="K2" i="18"/>
  <c r="C2" i="18"/>
  <c r="D27" i="17"/>
  <c r="F27" i="17" s="1"/>
  <c r="D26" i="17"/>
  <c r="F26" i="17" s="1"/>
  <c r="E25" i="17"/>
  <c r="D25" i="17"/>
  <c r="F25" i="17" s="1"/>
  <c r="F24" i="17"/>
  <c r="E24" i="17"/>
  <c r="D24" i="17"/>
  <c r="D23" i="17"/>
  <c r="F23" i="17" s="1"/>
  <c r="D22" i="17"/>
  <c r="F22" i="17" s="1"/>
  <c r="G16" i="17"/>
  <c r="E16" i="17"/>
  <c r="C16" i="17"/>
  <c r="I12" i="17"/>
  <c r="G12" i="17"/>
  <c r="E12" i="17"/>
  <c r="C12" i="17"/>
  <c r="I8" i="17"/>
  <c r="G8" i="17"/>
  <c r="E8" i="17"/>
  <c r="C8" i="17"/>
  <c r="J3" i="17"/>
  <c r="K2" i="17"/>
  <c r="C2" i="17"/>
  <c r="E22" i="16"/>
  <c r="D22" i="16"/>
  <c r="F22" i="16" s="1"/>
  <c r="E21" i="16"/>
  <c r="D21" i="16"/>
  <c r="F21" i="16" s="1"/>
  <c r="E20" i="16"/>
  <c r="F20" i="16" s="1"/>
  <c r="D20" i="16"/>
  <c r="E19" i="16"/>
  <c r="D19" i="16"/>
  <c r="F19" i="16" s="1"/>
  <c r="E18" i="16"/>
  <c r="D18" i="16"/>
  <c r="F18" i="16" s="1"/>
  <c r="E17" i="16"/>
  <c r="D17" i="16"/>
  <c r="F17" i="16" s="1"/>
  <c r="I12" i="16"/>
  <c r="G12" i="16"/>
  <c r="E12" i="16"/>
  <c r="C12" i="16"/>
  <c r="A12" i="16"/>
  <c r="I8" i="16"/>
  <c r="G8" i="16"/>
  <c r="E8" i="16"/>
  <c r="C8" i="16"/>
  <c r="A6" i="16"/>
  <c r="M5" i="16"/>
  <c r="J3" i="16"/>
  <c r="L2" i="16"/>
  <c r="C2" i="16"/>
  <c r="H100" i="15"/>
  <c r="G100" i="15"/>
  <c r="F100" i="15"/>
  <c r="H99" i="15"/>
  <c r="G99" i="15"/>
  <c r="F99" i="15"/>
  <c r="H98" i="15"/>
  <c r="G98" i="15"/>
  <c r="F98" i="15"/>
  <c r="H97" i="15"/>
  <c r="G97" i="15"/>
  <c r="F97" i="15"/>
  <c r="H96" i="15"/>
  <c r="G96" i="15"/>
  <c r="F96" i="15"/>
  <c r="H95" i="15"/>
  <c r="G95" i="15"/>
  <c r="F95" i="15"/>
  <c r="H94" i="15"/>
  <c r="G94" i="15"/>
  <c r="F94" i="15"/>
  <c r="H93" i="15"/>
  <c r="G93" i="15"/>
  <c r="F93" i="15"/>
  <c r="H92" i="15"/>
  <c r="G92" i="15"/>
  <c r="F92" i="15"/>
  <c r="H91" i="15"/>
  <c r="G91" i="15"/>
  <c r="F91" i="15"/>
  <c r="H90" i="15"/>
  <c r="G90" i="15"/>
  <c r="F90" i="15"/>
  <c r="H89" i="15"/>
  <c r="G89" i="15"/>
  <c r="F89" i="15"/>
  <c r="H88" i="15"/>
  <c r="G88" i="15"/>
  <c r="F88" i="15"/>
  <c r="H87" i="15"/>
  <c r="G87" i="15"/>
  <c r="F87" i="15"/>
  <c r="H86" i="15"/>
  <c r="G86" i="15"/>
  <c r="F86" i="15"/>
  <c r="H85" i="15"/>
  <c r="G85" i="15"/>
  <c r="F85" i="15"/>
  <c r="H84" i="15"/>
  <c r="G84" i="15"/>
  <c r="F84" i="15"/>
  <c r="H83" i="15"/>
  <c r="G83" i="15"/>
  <c r="F83" i="15"/>
  <c r="H82" i="15"/>
  <c r="G82" i="15"/>
  <c r="F82" i="15"/>
  <c r="H81" i="15"/>
  <c r="G81" i="15"/>
  <c r="F81" i="15"/>
  <c r="H80" i="15"/>
  <c r="G80" i="15"/>
  <c r="F80" i="15"/>
  <c r="H79" i="15"/>
  <c r="G79" i="15"/>
  <c r="F79" i="15"/>
  <c r="H78" i="15"/>
  <c r="G78" i="15"/>
  <c r="F78" i="15"/>
  <c r="H77" i="15"/>
  <c r="G77" i="15"/>
  <c r="F77" i="15"/>
  <c r="H76" i="15"/>
  <c r="G76" i="15"/>
  <c r="F76" i="15"/>
  <c r="H75" i="15"/>
  <c r="G75" i="15"/>
  <c r="F75" i="15"/>
  <c r="H74" i="15"/>
  <c r="G74" i="15"/>
  <c r="F74" i="15"/>
  <c r="H73" i="15"/>
  <c r="G73" i="15"/>
  <c r="F73" i="15"/>
  <c r="H72" i="15"/>
  <c r="G72" i="15"/>
  <c r="F72" i="15"/>
  <c r="H71" i="15"/>
  <c r="G71" i="15"/>
  <c r="F71" i="15"/>
  <c r="H70" i="15"/>
  <c r="G70" i="15"/>
  <c r="F70" i="15"/>
  <c r="H69" i="15"/>
  <c r="G69" i="15"/>
  <c r="F69" i="15"/>
  <c r="H68" i="15"/>
  <c r="G68" i="15"/>
  <c r="F68" i="15"/>
  <c r="H67" i="15"/>
  <c r="G67" i="15"/>
  <c r="F67" i="15"/>
  <c r="H66" i="15"/>
  <c r="G66" i="15"/>
  <c r="F66" i="15"/>
  <c r="H65" i="15"/>
  <c r="G65" i="15"/>
  <c r="F65" i="15"/>
  <c r="H64" i="15"/>
  <c r="G64" i="15"/>
  <c r="F64" i="15"/>
  <c r="H63" i="15"/>
  <c r="G63" i="15"/>
  <c r="F63" i="15"/>
  <c r="H62" i="15"/>
  <c r="G62" i="15"/>
  <c r="F62" i="15"/>
  <c r="H61" i="15"/>
  <c r="G61" i="15"/>
  <c r="F61" i="15"/>
  <c r="H60" i="15"/>
  <c r="G60" i="15"/>
  <c r="F60" i="15"/>
  <c r="H59" i="15"/>
  <c r="G59" i="15"/>
  <c r="F59" i="15"/>
  <c r="H58" i="15"/>
  <c r="G58" i="15"/>
  <c r="F58" i="15"/>
  <c r="H57" i="15"/>
  <c r="G57" i="15"/>
  <c r="F57" i="15"/>
  <c r="H56" i="15"/>
  <c r="G56" i="15"/>
  <c r="F56" i="15"/>
  <c r="H55" i="15"/>
  <c r="G55" i="15"/>
  <c r="F55" i="15"/>
  <c r="H54" i="15"/>
  <c r="G54" i="15"/>
  <c r="F54" i="15"/>
  <c r="H53" i="15"/>
  <c r="G53" i="15"/>
  <c r="F53" i="15"/>
  <c r="H52" i="15"/>
  <c r="G52" i="15"/>
  <c r="F52" i="15"/>
  <c r="H51" i="15"/>
  <c r="G51" i="15"/>
  <c r="F51" i="15"/>
  <c r="H50" i="15"/>
  <c r="G50" i="15"/>
  <c r="F50" i="15"/>
  <c r="H49" i="15"/>
  <c r="G49" i="15"/>
  <c r="F49" i="15"/>
  <c r="H48" i="15"/>
  <c r="G48" i="15"/>
  <c r="F48" i="15"/>
  <c r="H47" i="15"/>
  <c r="G47" i="15"/>
  <c r="F47" i="15"/>
  <c r="H46" i="15"/>
  <c r="G46" i="15"/>
  <c r="F46" i="15"/>
  <c r="H45" i="15"/>
  <c r="G45" i="15"/>
  <c r="F45" i="15"/>
  <c r="H44" i="15"/>
  <c r="G44" i="15"/>
  <c r="F44" i="15"/>
  <c r="H43" i="15"/>
  <c r="G43" i="15"/>
  <c r="F43" i="15"/>
  <c r="H42" i="15"/>
  <c r="G42" i="15"/>
  <c r="F42" i="15"/>
  <c r="H41" i="15"/>
  <c r="G41" i="15"/>
  <c r="F41" i="15"/>
  <c r="H40" i="15"/>
  <c r="G40" i="15"/>
  <c r="F40" i="15"/>
  <c r="H39" i="15"/>
  <c r="G39" i="15"/>
  <c r="F39" i="15"/>
  <c r="H38" i="15"/>
  <c r="G38" i="15"/>
  <c r="F38" i="15"/>
  <c r="H37" i="15"/>
  <c r="G37" i="15"/>
  <c r="F37" i="15"/>
  <c r="H36" i="15"/>
  <c r="G36" i="15"/>
  <c r="F36" i="15"/>
  <c r="H35" i="15"/>
  <c r="G35" i="15"/>
  <c r="F35" i="15"/>
  <c r="H34" i="15"/>
  <c r="G34" i="15"/>
  <c r="F34" i="15"/>
  <c r="H33" i="15"/>
  <c r="G33" i="15"/>
  <c r="F33" i="15"/>
  <c r="H32" i="15"/>
  <c r="G32" i="15"/>
  <c r="F32" i="15"/>
  <c r="H31" i="15"/>
  <c r="G31" i="15"/>
  <c r="F31" i="15"/>
  <c r="H30" i="15"/>
  <c r="G30" i="15"/>
  <c r="F30" i="15"/>
  <c r="H29" i="15"/>
  <c r="G29" i="15"/>
  <c r="F29" i="15"/>
  <c r="H28" i="15"/>
  <c r="G28" i="15"/>
  <c r="F28" i="15"/>
  <c r="H27" i="15"/>
  <c r="G27" i="15"/>
  <c r="F27" i="15"/>
  <c r="H26" i="15"/>
  <c r="G26" i="15"/>
  <c r="F26" i="15"/>
  <c r="H25" i="15"/>
  <c r="G25" i="15"/>
  <c r="F25" i="15"/>
  <c r="H24" i="15"/>
  <c r="G24" i="15"/>
  <c r="F24" i="15"/>
  <c r="H23" i="15"/>
  <c r="G23" i="15"/>
  <c r="F23" i="15"/>
  <c r="H22" i="15"/>
  <c r="G22" i="15"/>
  <c r="F22" i="15"/>
  <c r="H21" i="15"/>
  <c r="G21" i="15"/>
  <c r="F21" i="15"/>
  <c r="H20" i="15"/>
  <c r="G20" i="15"/>
  <c r="F20" i="15"/>
  <c r="H19" i="15"/>
  <c r="G19" i="15"/>
  <c r="F19" i="15"/>
  <c r="H18" i="15"/>
  <c r="G18" i="15"/>
  <c r="F18" i="15"/>
  <c r="H17" i="15"/>
  <c r="G17" i="15"/>
  <c r="F17" i="15"/>
  <c r="H16" i="15"/>
  <c r="G16" i="15"/>
  <c r="F16" i="15"/>
  <c r="H15" i="15"/>
  <c r="G15" i="15"/>
  <c r="F15" i="15"/>
  <c r="H14" i="15"/>
  <c r="G14" i="15"/>
  <c r="F14" i="15"/>
  <c r="H13" i="15"/>
  <c r="G13" i="15"/>
  <c r="L13" i="15" s="1"/>
  <c r="M13" i="15" s="1"/>
  <c r="F13" i="15"/>
  <c r="H12" i="15"/>
  <c r="G12" i="15"/>
  <c r="F12" i="15"/>
  <c r="H11" i="15"/>
  <c r="G11" i="15"/>
  <c r="L14" i="15" s="1"/>
  <c r="M14" i="15" s="1"/>
  <c r="F11" i="15"/>
  <c r="L10" i="15"/>
  <c r="M10" i="15" s="1"/>
  <c r="H10" i="15"/>
  <c r="G10" i="15"/>
  <c r="L11" i="15" s="1"/>
  <c r="M11" i="15" s="1"/>
  <c r="F10" i="15"/>
  <c r="H9" i="15"/>
  <c r="L12" i="15" s="1"/>
  <c r="M12" i="15" s="1"/>
  <c r="G9" i="15"/>
  <c r="F9" i="15"/>
  <c r="H8" i="15"/>
  <c r="G8" i="15"/>
  <c r="L9" i="15" s="1"/>
  <c r="M9" i="15" s="1"/>
  <c r="F8" i="15"/>
  <c r="L7" i="15"/>
  <c r="M7" i="15" s="1"/>
  <c r="H7" i="15"/>
  <c r="G7" i="15"/>
  <c r="L8" i="15" s="1"/>
  <c r="M8" i="15" s="1"/>
  <c r="F7" i="15"/>
  <c r="H6" i="15"/>
  <c r="G6" i="15"/>
  <c r="F6" i="15"/>
  <c r="E50" i="14"/>
  <c r="J50" i="14" s="1"/>
  <c r="J49" i="14"/>
  <c r="E49" i="14"/>
  <c r="E48" i="14"/>
  <c r="J48" i="14" s="1"/>
  <c r="E47" i="14"/>
  <c r="J47" i="14" s="1"/>
  <c r="J46" i="14"/>
  <c r="E46" i="14"/>
  <c r="J45" i="14"/>
  <c r="E45" i="14"/>
  <c r="E44" i="14"/>
  <c r="J44" i="14" s="1"/>
  <c r="J43" i="14"/>
  <c r="E43" i="14"/>
  <c r="E42" i="14"/>
  <c r="J42" i="14" s="1"/>
  <c r="E41" i="14"/>
  <c r="J41" i="14" s="1"/>
  <c r="J40" i="14"/>
  <c r="E40" i="14"/>
  <c r="J39" i="14"/>
  <c r="E39" i="14"/>
  <c r="E38" i="14"/>
  <c r="J38" i="14" s="1"/>
  <c r="J37" i="14"/>
  <c r="E37" i="14"/>
  <c r="E36" i="14"/>
  <c r="J36" i="14" s="1"/>
  <c r="E35" i="14"/>
  <c r="J35" i="14" s="1"/>
  <c r="J34" i="14"/>
  <c r="E34" i="14"/>
  <c r="J33" i="14"/>
  <c r="E33" i="14"/>
  <c r="E32" i="14"/>
  <c r="J32" i="14" s="1"/>
  <c r="J31" i="14"/>
  <c r="E31" i="14"/>
  <c r="E30" i="14"/>
  <c r="J30" i="14" s="1"/>
  <c r="E29" i="14"/>
  <c r="J29" i="14" s="1"/>
  <c r="J28" i="14"/>
  <c r="E28" i="14"/>
  <c r="J27" i="14"/>
  <c r="E27" i="14"/>
  <c r="E26" i="14"/>
  <c r="J26" i="14" s="1"/>
  <c r="J25" i="14"/>
  <c r="E25" i="14"/>
  <c r="E24" i="14"/>
  <c r="J24" i="14" s="1"/>
  <c r="E23" i="14"/>
  <c r="J23" i="14" s="1"/>
  <c r="J22" i="14"/>
  <c r="E22" i="14"/>
  <c r="J21" i="14"/>
  <c r="E21" i="14"/>
  <c r="E20" i="14"/>
  <c r="J20" i="14" s="1"/>
  <c r="J19" i="14"/>
  <c r="E19" i="14"/>
  <c r="E18" i="14"/>
  <c r="J18" i="14" s="1"/>
  <c r="E17" i="14"/>
  <c r="J17" i="14" s="1"/>
  <c r="J16" i="14"/>
  <c r="E16" i="14"/>
  <c r="J15" i="14"/>
  <c r="E15" i="14"/>
  <c r="E14" i="14"/>
  <c r="J14" i="14" s="1"/>
  <c r="J13" i="14"/>
  <c r="E13" i="14"/>
  <c r="E12" i="14"/>
  <c r="J12" i="14" s="1"/>
  <c r="E11" i="14"/>
  <c r="J11" i="14" s="1"/>
  <c r="J10" i="14"/>
  <c r="E10" i="14"/>
  <c r="J9" i="14"/>
  <c r="E9" i="14"/>
  <c r="E8" i="14"/>
  <c r="J8" i="14" s="1"/>
  <c r="J7" i="14"/>
  <c r="E7" i="14"/>
  <c r="E6" i="14"/>
  <c r="J6" i="14" s="1"/>
  <c r="H40" i="13"/>
  <c r="G40" i="13"/>
  <c r="H39" i="13"/>
  <c r="G39" i="13"/>
  <c r="H38" i="13"/>
  <c r="G38" i="13"/>
  <c r="H37" i="13"/>
  <c r="G37" i="13"/>
  <c r="H36" i="13"/>
  <c r="G36" i="13"/>
  <c r="H35" i="13"/>
  <c r="G35" i="13"/>
  <c r="H34" i="13"/>
  <c r="G34" i="13"/>
  <c r="H33" i="13"/>
  <c r="G33" i="13"/>
  <c r="H32" i="13"/>
  <c r="G32" i="13"/>
  <c r="H31" i="13"/>
  <c r="G31" i="13"/>
  <c r="H30" i="13"/>
  <c r="G30" i="13"/>
  <c r="H29" i="13"/>
  <c r="G29" i="13"/>
  <c r="H28" i="13"/>
  <c r="G28" i="13"/>
  <c r="H27" i="13"/>
  <c r="G27" i="13"/>
  <c r="H26" i="13"/>
  <c r="G26" i="13"/>
  <c r="H25" i="13"/>
  <c r="G25" i="13"/>
  <c r="H24" i="13"/>
  <c r="G24" i="13"/>
  <c r="H23" i="13"/>
  <c r="G23" i="13"/>
  <c r="H22" i="13"/>
  <c r="G22" i="13"/>
  <c r="H21" i="13"/>
  <c r="G21" i="13"/>
  <c r="H20" i="13"/>
  <c r="G20" i="13"/>
  <c r="H19" i="13"/>
  <c r="G19" i="13"/>
  <c r="H18" i="13"/>
  <c r="G18" i="13"/>
  <c r="H17" i="13"/>
  <c r="G17" i="13"/>
  <c r="H16" i="13"/>
  <c r="G16" i="13"/>
  <c r="H15" i="13"/>
  <c r="G15" i="13"/>
  <c r="H14" i="13"/>
  <c r="G14" i="13"/>
  <c r="H13" i="13"/>
  <c r="E21" i="20" s="1"/>
  <c r="G13" i="13"/>
  <c r="D21" i="20" s="1"/>
  <c r="H12" i="13"/>
  <c r="E20" i="20" s="1"/>
  <c r="G12" i="13"/>
  <c r="D20" i="20" s="1"/>
  <c r="H11" i="13"/>
  <c r="E19" i="20" s="1"/>
  <c r="G11" i="13"/>
  <c r="D19" i="20" s="1"/>
  <c r="H10" i="13"/>
  <c r="E18" i="20" s="1"/>
  <c r="G10" i="13"/>
  <c r="D18" i="20" s="1"/>
  <c r="H9" i="13"/>
  <c r="E17" i="20" s="1"/>
  <c r="G9" i="13"/>
  <c r="D17" i="20" s="1"/>
  <c r="H8" i="13"/>
  <c r="E16" i="20" s="1"/>
  <c r="G8" i="13"/>
  <c r="D16" i="20" s="1"/>
  <c r="H7" i="13"/>
  <c r="E15" i="20" s="1"/>
  <c r="G7" i="13"/>
  <c r="D15" i="20" s="1"/>
  <c r="H6" i="13"/>
  <c r="E14" i="20" s="1"/>
  <c r="G6" i="13"/>
  <c r="D14" i="20" s="1"/>
  <c r="L40" i="12"/>
  <c r="K40" i="12"/>
  <c r="J40" i="12"/>
  <c r="L39" i="12"/>
  <c r="K39" i="12"/>
  <c r="J39" i="12"/>
  <c r="L38" i="12"/>
  <c r="K38" i="12"/>
  <c r="J38" i="12"/>
  <c r="L37" i="12"/>
  <c r="K37" i="12"/>
  <c r="J37" i="12"/>
  <c r="L36" i="12"/>
  <c r="K36" i="12"/>
  <c r="J36" i="12"/>
  <c r="L35" i="12"/>
  <c r="K35" i="12"/>
  <c r="J35" i="12"/>
  <c r="L34" i="12"/>
  <c r="K34" i="12"/>
  <c r="J34" i="12"/>
  <c r="L33" i="12"/>
  <c r="K33" i="12"/>
  <c r="J33" i="12"/>
  <c r="L32" i="12"/>
  <c r="K32" i="12"/>
  <c r="J32" i="12"/>
  <c r="L31" i="12"/>
  <c r="K31" i="12"/>
  <c r="J31" i="12"/>
  <c r="L30" i="12"/>
  <c r="K30" i="12"/>
  <c r="J30" i="12"/>
  <c r="L29" i="12"/>
  <c r="K29" i="12"/>
  <c r="J29" i="12"/>
  <c r="L28" i="12"/>
  <c r="K28" i="12"/>
  <c r="J28" i="12"/>
  <c r="L27" i="12"/>
  <c r="K27" i="12"/>
  <c r="J27" i="12"/>
  <c r="L26" i="12"/>
  <c r="K26" i="12"/>
  <c r="J26" i="12"/>
  <c r="L25" i="12"/>
  <c r="K25" i="12"/>
  <c r="J25" i="12"/>
  <c r="L24" i="12"/>
  <c r="K24" i="12"/>
  <c r="J24" i="12"/>
  <c r="L23" i="12"/>
  <c r="K23" i="12"/>
  <c r="J23" i="12"/>
  <c r="L22" i="12"/>
  <c r="K22" i="12"/>
  <c r="J22" i="12"/>
  <c r="L21" i="12"/>
  <c r="K21" i="12"/>
  <c r="J21" i="12"/>
  <c r="L20" i="12"/>
  <c r="K20" i="12"/>
  <c r="J20" i="12"/>
  <c r="L19" i="12"/>
  <c r="K19" i="12"/>
  <c r="J19" i="12"/>
  <c r="L18" i="12"/>
  <c r="K18" i="12"/>
  <c r="J18" i="12"/>
  <c r="L17" i="12"/>
  <c r="K17" i="12"/>
  <c r="J17" i="12"/>
  <c r="L16" i="12"/>
  <c r="K16" i="12"/>
  <c r="J16" i="12"/>
  <c r="L15" i="12"/>
  <c r="K15" i="12"/>
  <c r="J15" i="12"/>
  <c r="L14" i="12"/>
  <c r="K14" i="12"/>
  <c r="J14" i="12"/>
  <c r="L13" i="12"/>
  <c r="F21" i="19" s="1"/>
  <c r="K13" i="12"/>
  <c r="J13" i="12"/>
  <c r="L12" i="12"/>
  <c r="F20" i="19" s="1"/>
  <c r="K12" i="12"/>
  <c r="J12" i="12"/>
  <c r="L11" i="12"/>
  <c r="F19" i="19" s="1"/>
  <c r="K11" i="12"/>
  <c r="J11" i="12"/>
  <c r="L10" i="12"/>
  <c r="F18" i="19" s="1"/>
  <c r="K10" i="12"/>
  <c r="J10" i="12"/>
  <c r="L9" i="12"/>
  <c r="F17" i="19" s="1"/>
  <c r="K9" i="12"/>
  <c r="J9" i="12"/>
  <c r="L8" i="12"/>
  <c r="F16" i="19" s="1"/>
  <c r="K8" i="12"/>
  <c r="J8" i="12"/>
  <c r="L7" i="12"/>
  <c r="F15" i="19" s="1"/>
  <c r="K7" i="12"/>
  <c r="J7" i="12"/>
  <c r="L6" i="12"/>
  <c r="F14" i="19" s="1"/>
  <c r="K6" i="12"/>
  <c r="J6" i="12"/>
  <c r="G50" i="11"/>
  <c r="A50" i="11"/>
  <c r="G49" i="11"/>
  <c r="A49" i="11"/>
  <c r="G48" i="11"/>
  <c r="A48" i="11"/>
  <c r="G47" i="11"/>
  <c r="A47" i="11"/>
  <c r="G46" i="11"/>
  <c r="A46" i="11"/>
  <c r="G45" i="11"/>
  <c r="A45" i="11"/>
  <c r="G44" i="11"/>
  <c r="A44" i="11"/>
  <c r="G43" i="11"/>
  <c r="A43" i="11"/>
  <c r="G42" i="11"/>
  <c r="A42" i="11"/>
  <c r="G41" i="11"/>
  <c r="A41" i="11"/>
  <c r="G40" i="11"/>
  <c r="A40" i="11"/>
  <c r="G39" i="11"/>
  <c r="A39" i="11"/>
  <c r="G38" i="11"/>
  <c r="A38" i="11"/>
  <c r="G37" i="11"/>
  <c r="A37" i="11"/>
  <c r="G36" i="11"/>
  <c r="A36" i="11"/>
  <c r="G35" i="11"/>
  <c r="A35" i="11"/>
  <c r="G34" i="11"/>
  <c r="A34" i="11"/>
  <c r="G33" i="11"/>
  <c r="A33" i="11"/>
  <c r="G32" i="11"/>
  <c r="A32" i="11"/>
  <c r="G31" i="11"/>
  <c r="A31" i="11"/>
  <c r="G30" i="11"/>
  <c r="A30" i="11"/>
  <c r="G29" i="11"/>
  <c r="A29" i="11"/>
  <c r="G28" i="11"/>
  <c r="A28" i="11"/>
  <c r="G27" i="11"/>
  <c r="A27" i="11"/>
  <c r="G26" i="11"/>
  <c r="A26" i="11"/>
  <c r="G25" i="11"/>
  <c r="A25" i="11"/>
  <c r="G24" i="11"/>
  <c r="A24" i="11"/>
  <c r="G23" i="11"/>
  <c r="A23" i="11"/>
  <c r="G22" i="11"/>
  <c r="A22" i="11"/>
  <c r="G21" i="11"/>
  <c r="A21" i="11"/>
  <c r="G20" i="11"/>
  <c r="A20" i="11"/>
  <c r="G19" i="11"/>
  <c r="A19" i="11"/>
  <c r="G18" i="11"/>
  <c r="A18" i="11"/>
  <c r="G17" i="11"/>
  <c r="A17" i="11"/>
  <c r="G16" i="11"/>
  <c r="A16" i="11"/>
  <c r="G15" i="11"/>
  <c r="A15" i="11"/>
  <c r="G14" i="11"/>
  <c r="A14" i="11"/>
  <c r="G13" i="11"/>
  <c r="A13" i="11"/>
  <c r="G12" i="11"/>
  <c r="A12" i="11"/>
  <c r="G11" i="11"/>
  <c r="A11" i="11"/>
  <c r="G10" i="11"/>
  <c r="A10" i="11"/>
  <c r="G9" i="11"/>
  <c r="G8" i="11"/>
  <c r="G7" i="11"/>
  <c r="G6" i="11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B4" i="10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B4" i="9"/>
  <c r="G36" i="8"/>
  <c r="F36" i="8"/>
  <c r="G35" i="8"/>
  <c r="F35" i="8"/>
  <c r="G34" i="8"/>
  <c r="F34" i="8"/>
  <c r="G33" i="8"/>
  <c r="F33" i="8"/>
  <c r="G32" i="8"/>
  <c r="F32" i="8"/>
  <c r="G31" i="8"/>
  <c r="F31" i="8"/>
  <c r="G30" i="8"/>
  <c r="F30" i="8"/>
  <c r="G29" i="8"/>
  <c r="F29" i="8"/>
  <c r="G28" i="8"/>
  <c r="F28" i="8"/>
  <c r="G27" i="8"/>
  <c r="F27" i="8"/>
  <c r="G26" i="8"/>
  <c r="F26" i="8"/>
  <c r="G25" i="8"/>
  <c r="F25" i="8"/>
  <c r="G24" i="8"/>
  <c r="F24" i="8"/>
  <c r="G23" i="8"/>
  <c r="F23" i="8"/>
  <c r="G22" i="8"/>
  <c r="F22" i="8"/>
  <c r="G21" i="8"/>
  <c r="F21" i="8"/>
  <c r="G20" i="8"/>
  <c r="F20" i="8"/>
  <c r="G19" i="8"/>
  <c r="F19" i="8"/>
  <c r="G18" i="8"/>
  <c r="F18" i="8"/>
  <c r="G17" i="8"/>
  <c r="F17" i="8"/>
  <c r="G16" i="8"/>
  <c r="F16" i="8"/>
  <c r="G15" i="8"/>
  <c r="F15" i="8"/>
  <c r="G14" i="8"/>
  <c r="F14" i="8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B4" i="8"/>
  <c r="K4" i="7"/>
  <c r="I4" i="7"/>
  <c r="G4" i="7"/>
  <c r="E4" i="7"/>
  <c r="C4" i="7"/>
  <c r="A4" i="7"/>
  <c r="C35" i="8" s="1"/>
  <c r="J76" i="6"/>
  <c r="I76" i="6"/>
  <c r="J75" i="6"/>
  <c r="I75" i="6"/>
  <c r="J74" i="6"/>
  <c r="I74" i="6"/>
  <c r="J73" i="6"/>
  <c r="I73" i="6"/>
  <c r="J72" i="6"/>
  <c r="I72" i="6"/>
  <c r="J71" i="6"/>
  <c r="I71" i="6"/>
  <c r="J70" i="6"/>
  <c r="I70" i="6"/>
  <c r="J69" i="6"/>
  <c r="I69" i="6"/>
  <c r="J68" i="6"/>
  <c r="I68" i="6"/>
  <c r="J67" i="6"/>
  <c r="I67" i="6"/>
  <c r="J66" i="6"/>
  <c r="I66" i="6"/>
  <c r="J65" i="6"/>
  <c r="I65" i="6"/>
  <c r="J64" i="6"/>
  <c r="I64" i="6"/>
  <c r="J63" i="6"/>
  <c r="I63" i="6"/>
  <c r="J62" i="6"/>
  <c r="I62" i="6"/>
  <c r="J61" i="6"/>
  <c r="I61" i="6"/>
  <c r="J60" i="6"/>
  <c r="I60" i="6"/>
  <c r="J59" i="6"/>
  <c r="I59" i="6"/>
  <c r="J58" i="6"/>
  <c r="I58" i="6"/>
  <c r="J57" i="6"/>
  <c r="I57" i="6"/>
  <c r="J56" i="6"/>
  <c r="I56" i="6"/>
  <c r="J55" i="6"/>
  <c r="I55" i="6"/>
  <c r="J54" i="6"/>
  <c r="I54" i="6"/>
  <c r="J53" i="6"/>
  <c r="I53" i="6"/>
  <c r="J52" i="6"/>
  <c r="I52" i="6"/>
  <c r="J51" i="6"/>
  <c r="I51" i="6"/>
  <c r="J50" i="6"/>
  <c r="I50" i="6"/>
  <c r="J49" i="6"/>
  <c r="I49" i="6"/>
  <c r="J48" i="6"/>
  <c r="I48" i="6"/>
  <c r="J47" i="6"/>
  <c r="I47" i="6"/>
  <c r="J46" i="6"/>
  <c r="I46" i="6"/>
  <c r="J45" i="6"/>
  <c r="I45" i="6"/>
  <c r="J44" i="6"/>
  <c r="I44" i="6"/>
  <c r="J43" i="6"/>
  <c r="I43" i="6"/>
  <c r="J42" i="6"/>
  <c r="I42" i="6"/>
  <c r="J41" i="6"/>
  <c r="I41" i="6"/>
  <c r="J40" i="6"/>
  <c r="I40" i="6"/>
  <c r="J39" i="6"/>
  <c r="I39" i="6"/>
  <c r="J38" i="6"/>
  <c r="I38" i="6"/>
  <c r="I37" i="6"/>
  <c r="J37" i="6" s="1"/>
  <c r="J36" i="6"/>
  <c r="I36" i="6"/>
  <c r="J35" i="6"/>
  <c r="I35" i="6"/>
  <c r="J34" i="6"/>
  <c r="I34" i="6"/>
  <c r="J33" i="6"/>
  <c r="I33" i="6"/>
  <c r="I32" i="6"/>
  <c r="J32" i="6" s="1"/>
  <c r="J31" i="6"/>
  <c r="I31" i="6"/>
  <c r="J30" i="6"/>
  <c r="I30" i="6"/>
  <c r="I29" i="6"/>
  <c r="J29" i="6" s="1"/>
  <c r="J28" i="6"/>
  <c r="I28" i="6"/>
  <c r="J27" i="6"/>
  <c r="I27" i="6"/>
  <c r="J26" i="6"/>
  <c r="I26" i="6"/>
  <c r="I25" i="6"/>
  <c r="J25" i="6" s="1"/>
  <c r="J24" i="6"/>
  <c r="I24" i="6"/>
  <c r="J23" i="6"/>
  <c r="I23" i="6"/>
  <c r="J22" i="6"/>
  <c r="I22" i="6"/>
  <c r="I21" i="6"/>
  <c r="J21" i="6" s="1"/>
  <c r="J20" i="6"/>
  <c r="I20" i="6"/>
  <c r="J19" i="6"/>
  <c r="I19" i="6"/>
  <c r="J18" i="6"/>
  <c r="I18" i="6"/>
  <c r="I17" i="6"/>
  <c r="J17" i="6" s="1"/>
  <c r="J16" i="6"/>
  <c r="I16" i="6"/>
  <c r="J15" i="6"/>
  <c r="I15" i="6"/>
  <c r="J14" i="6"/>
  <c r="I14" i="6"/>
  <c r="I13" i="6"/>
  <c r="J13" i="6" s="1"/>
  <c r="J12" i="6"/>
  <c r="I12" i="6"/>
  <c r="J11" i="6"/>
  <c r="I11" i="6"/>
  <c r="J10" i="6"/>
  <c r="I10" i="6"/>
  <c r="I9" i="6"/>
  <c r="J9" i="6" s="1"/>
  <c r="J8" i="6"/>
  <c r="I8" i="6"/>
  <c r="J7" i="6"/>
  <c r="I7" i="6"/>
  <c r="J6" i="6"/>
  <c r="I6" i="6"/>
  <c r="I3" i="6"/>
  <c r="D12" i="4"/>
  <c r="I2" i="4"/>
  <c r="C2" i="4"/>
  <c r="F37" i="3"/>
  <c r="E37" i="3"/>
  <c r="D37" i="3"/>
  <c r="C37" i="3"/>
  <c r="F36" i="3"/>
  <c r="E36" i="3"/>
  <c r="D36" i="3"/>
  <c r="C36" i="3"/>
  <c r="F35" i="3"/>
  <c r="E35" i="3"/>
  <c r="D35" i="3"/>
  <c r="C35" i="3"/>
  <c r="F34" i="3"/>
  <c r="E34" i="3"/>
  <c r="D34" i="3"/>
  <c r="C34" i="3"/>
  <c r="F33" i="3"/>
  <c r="E33" i="3"/>
  <c r="D33" i="3"/>
  <c r="C33" i="3"/>
  <c r="F32" i="3"/>
  <c r="E32" i="3"/>
  <c r="D32" i="3"/>
  <c r="C32" i="3"/>
  <c r="K28" i="3"/>
  <c r="J28" i="3"/>
  <c r="I28" i="3"/>
  <c r="H28" i="3"/>
  <c r="F28" i="3"/>
  <c r="E28" i="3"/>
  <c r="D28" i="3"/>
  <c r="C28" i="3"/>
  <c r="K27" i="3"/>
  <c r="J27" i="3"/>
  <c r="I27" i="3"/>
  <c r="H27" i="3"/>
  <c r="F27" i="3"/>
  <c r="E27" i="3"/>
  <c r="D27" i="3"/>
  <c r="C27" i="3"/>
  <c r="K26" i="3"/>
  <c r="J26" i="3"/>
  <c r="I26" i="3"/>
  <c r="H26" i="3"/>
  <c r="F26" i="3"/>
  <c r="E26" i="3"/>
  <c r="D26" i="3"/>
  <c r="C26" i="3"/>
  <c r="K25" i="3"/>
  <c r="J25" i="3"/>
  <c r="I25" i="3"/>
  <c r="H25" i="3"/>
  <c r="F25" i="3"/>
  <c r="E25" i="3"/>
  <c r="D25" i="3"/>
  <c r="C25" i="3"/>
  <c r="K24" i="3"/>
  <c r="J24" i="3"/>
  <c r="I24" i="3"/>
  <c r="H24" i="3"/>
  <c r="F24" i="3"/>
  <c r="E24" i="3"/>
  <c r="D24" i="3"/>
  <c r="C24" i="3"/>
  <c r="J20" i="3"/>
  <c r="H20" i="3"/>
  <c r="E20" i="3"/>
  <c r="C20" i="3"/>
  <c r="J18" i="3"/>
  <c r="H18" i="3"/>
  <c r="E18" i="3"/>
  <c r="C18" i="3"/>
  <c r="J15" i="3"/>
  <c r="H15" i="3"/>
  <c r="E15" i="3"/>
  <c r="C15" i="3"/>
  <c r="J13" i="3"/>
  <c r="H13" i="3"/>
  <c r="E13" i="3"/>
  <c r="C13" i="3"/>
  <c r="J10" i="3"/>
  <c r="H10" i="3"/>
  <c r="E10" i="3"/>
  <c r="C10" i="3"/>
  <c r="J8" i="3"/>
  <c r="H8" i="3"/>
  <c r="E8" i="3"/>
  <c r="C8" i="3"/>
  <c r="M2" i="3"/>
  <c r="C2" i="3"/>
  <c r="K5" i="2"/>
  <c r="J5" i="2"/>
  <c r="H5" i="2"/>
  <c r="M2" i="2"/>
  <c r="C2" i="2"/>
  <c r="G8" i="20" l="1"/>
  <c r="B10" i="8"/>
  <c r="B16" i="8"/>
  <c r="B22" i="8"/>
  <c r="B30" i="8"/>
  <c r="B36" i="8"/>
  <c r="D36" i="8" s="1"/>
  <c r="C16" i="8"/>
  <c r="F15" i="18"/>
  <c r="B8" i="8"/>
  <c r="D8" i="8" s="1"/>
  <c r="B14" i="8"/>
  <c r="D14" i="8" s="1"/>
  <c r="B20" i="8"/>
  <c r="B28" i="8"/>
  <c r="B34" i="8"/>
  <c r="C14" i="8"/>
  <c r="F18" i="18"/>
  <c r="B26" i="8"/>
  <c r="F16" i="18"/>
  <c r="E22" i="17"/>
  <c r="E26" i="17"/>
  <c r="C10" i="8"/>
  <c r="C18" i="8"/>
  <c r="C22" i="8"/>
  <c r="C30" i="8"/>
  <c r="C36" i="8"/>
  <c r="F14" i="18"/>
  <c r="F17" i="18"/>
  <c r="F20" i="18"/>
  <c r="E23" i="17"/>
  <c r="E27" i="17"/>
  <c r="B12" i="8"/>
  <c r="B18" i="8"/>
  <c r="B24" i="8"/>
  <c r="D24" i="8" s="1"/>
  <c r="B32" i="8"/>
  <c r="D32" i="8" s="1"/>
  <c r="C8" i="8"/>
  <c r="C26" i="8"/>
  <c r="B7" i="8"/>
  <c r="B13" i="8"/>
  <c r="D13" i="8" s="1"/>
  <c r="B23" i="8"/>
  <c r="C12" i="8"/>
  <c r="C20" i="8"/>
  <c r="C24" i="8"/>
  <c r="C28" i="8"/>
  <c r="C32" i="8"/>
  <c r="C34" i="8"/>
  <c r="B9" i="8"/>
  <c r="D9" i="8" s="1"/>
  <c r="B11" i="8"/>
  <c r="D11" i="8" s="1"/>
  <c r="B15" i="8"/>
  <c r="B17" i="8"/>
  <c r="B19" i="8"/>
  <c r="D19" i="8" s="1"/>
  <c r="B21" i="8"/>
  <c r="B25" i="8"/>
  <c r="D25" i="8" s="1"/>
  <c r="B27" i="8"/>
  <c r="B29" i="8"/>
  <c r="B31" i="8"/>
  <c r="B33" i="8"/>
  <c r="D33" i="8" s="1"/>
  <c r="B35" i="8"/>
  <c r="D35" i="8" s="1"/>
  <c r="C7" i="8"/>
  <c r="B40" i="8" s="1"/>
  <c r="C9" i="8"/>
  <c r="C11" i="8"/>
  <c r="C13" i="8"/>
  <c r="C15" i="8"/>
  <c r="C17" i="8"/>
  <c r="C19" i="8"/>
  <c r="C21" i="8"/>
  <c r="C23" i="8"/>
  <c r="C25" i="8"/>
  <c r="C27" i="8"/>
  <c r="C29" i="8"/>
  <c r="C31" i="8"/>
  <c r="C33" i="8"/>
  <c r="D29" i="8" l="1"/>
  <c r="D30" i="8"/>
  <c r="D18" i="8"/>
  <c r="D31" i="8"/>
  <c r="D12" i="8"/>
  <c r="D27" i="8"/>
  <c r="D26" i="8"/>
  <c r="D22" i="8"/>
  <c r="D16" i="8"/>
  <c r="D21" i="8"/>
  <c r="D23" i="8"/>
  <c r="D10" i="8"/>
  <c r="D17" i="8"/>
  <c r="B39" i="8"/>
  <c r="D7" i="8"/>
  <c r="D28" i="8"/>
  <c r="D34" i="8"/>
  <c r="D15" i="8"/>
  <c r="B41" i="8" s="1"/>
  <c r="D20" i="8"/>
  <c r="B42" i="8" l="1"/>
  <c r="E7" i="8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E24" i="8" s="1"/>
  <c r="E25" i="8" s="1"/>
  <c r="E26" i="8" s="1"/>
  <c r="E27" i="8" s="1"/>
  <c r="E28" i="8" s="1"/>
  <c r="E29" i="8" s="1"/>
  <c r="E30" i="8" s="1"/>
  <c r="E31" i="8" s="1"/>
  <c r="E32" i="8" s="1"/>
  <c r="E33" i="8" s="1"/>
  <c r="E34" i="8" s="1"/>
  <c r="E35" i="8" s="1"/>
  <c r="E36" i="8" s="1"/>
  <c r="B43" i="8" s="1"/>
</calcChain>
</file>

<file path=xl/sharedStrings.xml><?xml version="1.0" encoding="utf-8"?>
<sst xmlns="http://schemas.openxmlformats.org/spreadsheetml/2006/main" count="4437" uniqueCount="1672">
  <si>
    <t>ATHENAS GYM</t>
  </si>
  <si>
    <t>Sistema de Gestão Premium</t>
  </si>
  <si>
    <t>Clique em ENTRAR para autenticar</t>
  </si>
  <si>
    <t>Login via formulário seguro (senha mascarada)</t>
  </si>
  <si>
    <t>Demo: admin / financeiro / recepcao / professor</t>
  </si>
  <si>
    <t>Senha demo: 123456</t>
  </si>
  <si>
    <t>© 2026 Athenas Gym — Fase 3 Login Real</t>
  </si>
  <si>
    <t>ERP 2.0</t>
  </si>
  <si>
    <t>ATHENAS GYM ERP — OPERATION CENTER</t>
  </si>
  <si>
    <t>🔔 Notificações</t>
  </si>
  <si>
    <t>📌 AÇÕES DO DIA</t>
  </si>
  <si>
    <t>🔔 POR MÓDULO</t>
  </si>
  <si>
    <t>Pri</t>
  </si>
  <si>
    <t>Ação</t>
  </si>
  <si>
    <t>Abrir</t>
  </si>
  <si>
    <t>Peso</t>
  </si>
  <si>
    <t>Qtd</t>
  </si>
  <si>
    <t>Módulo</t>
  </si>
  <si>
    <t>Pendências</t>
  </si>
  <si>
    <t>Financeiro</t>
  </si>
  <si>
    <t>Estoque</t>
  </si>
  <si>
    <t>Equipamentos</t>
  </si>
  <si>
    <t>Agenda</t>
  </si>
  <si>
    <t>Alunos</t>
  </si>
  <si>
    <t>PAINEL DO PERFIL</t>
  </si>
  <si>
    <t>PRÓXIMOS EVENTOS</t>
  </si>
  <si>
    <t>Hora</t>
  </si>
  <si>
    <t>Evento</t>
  </si>
  <si>
    <t>Referência</t>
  </si>
  <si>
    <t>Selecione a linha da ação e clique em ABRIR AÇÃO · Tudo é gerado automaticamente pelo motor de prioridades</t>
  </si>
  <si>
    <t>DASHBOARD EXECUTIVO</t>
  </si>
  <si>
    <t>Atualize com ⚙ Atualizar BI · Filtros em BI_BASE</t>
  </si>
  <si>
    <t>💰  Receita Hoje</t>
  </si>
  <si>
    <t>💰  Receita Mês</t>
  </si>
  <si>
    <t>💰  Lucro</t>
  </si>
  <si>
    <t>👤  Alunos Ativos</t>
  </si>
  <si>
    <t>SEMÁFOROS</t>
  </si>
  <si>
    <t>Inad.</t>
  </si>
  <si>
    <t>🟡</t>
  </si>
  <si>
    <t>Churn</t>
  </si>
  <si>
    <t>Meta</t>
  </si>
  <si>
    <t>👤  Novos</t>
  </si>
  <si>
    <t>Cancelamentos</t>
  </si>
  <si>
    <t>💰  Ticket</t>
  </si>
  <si>
    <t>💳  Inadimplência</t>
  </si>
  <si>
    <t>💰  Caixa</t>
  </si>
  <si>
    <t>% Meta Receita</t>
  </si>
  <si>
    <t>Estoque baixo</t>
  </si>
  <si>
    <t>METAS DO MÊS</t>
  </si>
  <si>
    <t>TOP PLANOS</t>
  </si>
  <si>
    <t>Indicador</t>
  </si>
  <si>
    <t>Atual</t>
  </si>
  <si>
    <t>Progresso</t>
  </si>
  <si>
    <t>#</t>
  </si>
  <si>
    <t>Plano</t>
  </si>
  <si>
    <t>Barra</t>
  </si>
  <si>
    <t>💰  RECEITA × DESPESAS</t>
  </si>
  <si>
    <t>Mês</t>
  </si>
  <si>
    <t>Receita</t>
  </si>
  <si>
    <t>Despesa</t>
  </si>
  <si>
    <t>Lucro</t>
  </si>
  <si>
    <t>ALERTAS INTELIGENTES</t>
  </si>
  <si>
    <t>📅 EVENTOS DE HOJE</t>
  </si>
  <si>
    <t>Mensagem</t>
  </si>
  <si>
    <t>Destino</t>
  </si>
  <si>
    <t>Hubs: Executivo · Comercial · Financeiro · Professores · Estoque · Equipamentos</t>
  </si>
  <si>
    <t>Ações rápidas / navegação BI</t>
  </si>
  <si>
    <t>Cadastro de Aluno</t>
  </si>
  <si>
    <t>ID edição →</t>
  </si>
  <si>
    <t>Nome *</t>
  </si>
  <si>
    <t>ID</t>
  </si>
  <si>
    <t>(ID auto)</t>
  </si>
  <si>
    <t>CPF *</t>
  </si>
  <si>
    <t>Matrícula</t>
  </si>
  <si>
    <t>(matrícula auto)</t>
  </si>
  <si>
    <t>Plano *</t>
  </si>
  <si>
    <t>Professor</t>
  </si>
  <si>
    <t>Valor (R$) *</t>
  </si>
  <si>
    <t>Forma de pagamento *</t>
  </si>
  <si>
    <t>PIX</t>
  </si>
  <si>
    <t>RG</t>
  </si>
  <si>
    <t>Sexo</t>
  </si>
  <si>
    <t>Data nascimento</t>
  </si>
  <si>
    <t>Telefone *</t>
  </si>
  <si>
    <t>Email</t>
  </si>
  <si>
    <t>CEP</t>
  </si>
  <si>
    <t>Endereço</t>
  </si>
  <si>
    <t>Número</t>
  </si>
  <si>
    <t>Bairro</t>
  </si>
  <si>
    <t>Cidade</t>
  </si>
  <si>
    <t>São Paulo</t>
  </si>
  <si>
    <t>Dia vencimento *</t>
  </si>
  <si>
    <t>👤 BASE DE ALUNOS</t>
  </si>
  <si>
    <t>Consulta — cadastre pelo FORM_ALUNO (banco: BD_ALUNOS)</t>
  </si>
  <si>
    <t>➕ Abrir formulário de cadastro</t>
  </si>
  <si>
    <t>Fonte canônica: BD_ALUNOS (tbAlunos). Esta aba é sincronizada ao salvar no formulário.</t>
  </si>
  <si>
    <t>EmpresaID</t>
  </si>
  <si>
    <t>UnidadeID</t>
  </si>
  <si>
    <t>Nome</t>
  </si>
  <si>
    <t>CPF</t>
  </si>
  <si>
    <t>DataNascimento</t>
  </si>
  <si>
    <t>Telefone</t>
  </si>
  <si>
    <t>WhatsApp</t>
  </si>
  <si>
    <t>ValorPlano</t>
  </si>
  <si>
    <t>FormaPagamento</t>
  </si>
  <si>
    <t>DataCadastro</t>
  </si>
  <si>
    <t>Status</t>
  </si>
  <si>
    <t>ATH-2026-000001</t>
  </si>
  <si>
    <t>Mariana Oliveira</t>
  </si>
  <si>
    <t>529.982.247-25</t>
  </si>
  <si>
    <t>52.9.9.82.-47-25</t>
  </si>
  <si>
    <t>Feminino</t>
  </si>
  <si>
    <t>(11) 99111-2201</t>
  </si>
  <si>
    <t>mariana.o@email.com</t>
  </si>
  <si>
    <t>01310-100</t>
  </si>
  <si>
    <t>Av. Paulista</t>
  </si>
  <si>
    <t>1000</t>
  </si>
  <si>
    <t>Bela Vista</t>
  </si>
  <si>
    <t>Mensal</t>
  </si>
  <si>
    <t>Carlos Mendes</t>
  </si>
  <si>
    <t>Ativo</t>
  </si>
  <si>
    <t>ATH-2026-000002</t>
  </si>
  <si>
    <t>Pedro Henrique Alves</t>
  </si>
  <si>
    <t>111.444.777-35</t>
  </si>
  <si>
    <t>11.1.4.44.-77-35</t>
  </si>
  <si>
    <t>Masculino</t>
  </si>
  <si>
    <t>(11) 99111-2202</t>
  </si>
  <si>
    <t>pedro.h@email.com</t>
  </si>
  <si>
    <t>Trimestral</t>
  </si>
  <si>
    <t>Ana Paula Souza</t>
  </si>
  <si>
    <t>ATH-2025-000003</t>
  </si>
  <si>
    <t>Fernanda Ribeiro</t>
  </si>
  <si>
    <t>390.533.447-05</t>
  </si>
  <si>
    <t>39.0.5.33.-47-05</t>
  </si>
  <si>
    <t>(11) 99111-2203</t>
  </si>
  <si>
    <t>fernanda.r@email.com</t>
  </si>
  <si>
    <t>Semestral</t>
  </si>
  <si>
    <t>Rafael Lima</t>
  </si>
  <si>
    <t>ATH-2025-000004</t>
  </si>
  <si>
    <t>Lucas Martins</t>
  </si>
  <si>
    <t>853.513.468-93</t>
  </si>
  <si>
    <t>85.3.5.13.-68-93</t>
  </si>
  <si>
    <t>(11) 99111-2204</t>
  </si>
  <si>
    <t>lucas.m@email.com</t>
  </si>
  <si>
    <t>Anual</t>
  </si>
  <si>
    <t>Congelado</t>
  </si>
  <si>
    <t>ATH-2026-000005</t>
  </si>
  <si>
    <t>Beatriz Nogueira</t>
  </si>
  <si>
    <t>075.482.701-19</t>
  </si>
  <si>
    <t>07.5.4.82.-01-19</t>
  </si>
  <si>
    <t>(11) 99111-2205</t>
  </si>
  <si>
    <t>beatriz.n@email.com</t>
  </si>
  <si>
    <t>Juliana Costa</t>
  </si>
  <si>
    <t>ATH-2026-000006</t>
  </si>
  <si>
    <t>Thiago Ferreira</t>
  </si>
  <si>
    <t>246.810.121-90</t>
  </si>
  <si>
    <t>24.6.8.10.-21-90</t>
  </si>
  <si>
    <t>(11) 99111-2206</t>
  </si>
  <si>
    <t>thiago.f@email.com</t>
  </si>
  <si>
    <t>Personal</t>
  </si>
  <si>
    <t>ATH-2025-000007</t>
  </si>
  <si>
    <t>Camila Santos</t>
  </si>
  <si>
    <t>369.121.518-17</t>
  </si>
  <si>
    <t>36.9.1.21.-18-17</t>
  </si>
  <si>
    <t>(11) 99111-2207</t>
  </si>
  <si>
    <t>camila.s@email.com</t>
  </si>
  <si>
    <t>Inadimplente</t>
  </si>
  <si>
    <t>ATH-2026-000008</t>
  </si>
  <si>
    <t>Gustavo Rocha</t>
  </si>
  <si>
    <t>481.216.243-20</t>
  </si>
  <si>
    <t>48.1.2.16.-43-20</t>
  </si>
  <si>
    <t>(11) 99111-2208</t>
  </si>
  <si>
    <t>gustavo.r@email.com</t>
  </si>
  <si>
    <t>💳 MENSALIDADES</t>
  </si>
  <si>
    <t>Geração e controle automático de cobranças</t>
  </si>
  <si>
    <t>Total Pendente/Atrasado:</t>
  </si>
  <si>
    <t>Ao marcar Status = Pago e preencher Data Pagamento, Dashboards e Fluxo atualizam automaticamente.</t>
  </si>
  <si>
    <t>Aluno</t>
  </si>
  <si>
    <t>Código</t>
  </si>
  <si>
    <t>Competência</t>
  </si>
  <si>
    <t>Valor</t>
  </si>
  <si>
    <t>Vencimento</t>
  </si>
  <si>
    <t>Pagamento</t>
  </si>
  <si>
    <t>Forma Pagamento</t>
  </si>
  <si>
    <t>Dias Atraso</t>
  </si>
  <si>
    <t>Situação Visual</t>
  </si>
  <si>
    <t>Pago</t>
  </si>
  <si>
    <t>Atrasado</t>
  </si>
  <si>
    <t>💰 FINANCEIRO</t>
  </si>
  <si>
    <t>Motor financeiro — receber, pagar, fluxo e dashboard</t>
  </si>
  <si>
    <t>MOTOR KPIs</t>
  </si>
  <si>
    <t>Receita Hoje</t>
  </si>
  <si>
    <t>Receita Mês</t>
  </si>
  <si>
    <t>Despesas</t>
  </si>
  <si>
    <t>Saldo</t>
  </si>
  <si>
    <t>Inadimplência</t>
  </si>
  <si>
    <t>(reservado)</t>
  </si>
  <si>
    <t>Pesquisar aluno:</t>
  </si>
  <si>
    <t>Valor Final</t>
  </si>
  <si>
    <t>Situação</t>
  </si>
  <si>
    <t>Forma</t>
  </si>
  <si>
    <t>Valor Original</t>
  </si>
  <si>
    <t>Despesas Mês</t>
  </si>
  <si>
    <t>Julho/2026</t>
  </si>
  <si>
    <t>Inadimplência %</t>
  </si>
  <si>
    <t>Receita Ano</t>
  </si>
  <si>
    <t>A Receber</t>
  </si>
  <si>
    <t>A Pagar</t>
  </si>
  <si>
    <t>Junho/2026</t>
  </si>
  <si>
    <t>Ticket Médio</t>
  </si>
  <si>
    <t>Churn %</t>
  </si>
  <si>
    <t>Prevista</t>
  </si>
  <si>
    <t>Recebida</t>
  </si>
  <si>
    <t>Em Atraso</t>
  </si>
  <si>
    <t>💰 FLUXO DE CAIXA</t>
  </si>
  <si>
    <t>Saldo diário, mensal e anual — automático</t>
  </si>
  <si>
    <t>Saldo Inicial:</t>
  </si>
  <si>
    <t>Data</t>
  </si>
  <si>
    <t>Entradas</t>
  </si>
  <si>
    <t>Saídas</t>
  </si>
  <si>
    <t>Saldo do Dia</t>
  </si>
  <si>
    <t>Saldo Acumulado</t>
  </si>
  <si>
    <t>Ano</t>
  </si>
  <si>
    <t>Observação</t>
  </si>
  <si>
    <t>INDICADORES</t>
  </si>
  <si>
    <t>Entradas (período)</t>
  </si>
  <si>
    <t>Saídas (período)</t>
  </si>
  <si>
    <t>Saldo do Mês</t>
  </si>
  <si>
    <t>Saldo Anual (aprox.)</t>
  </si>
  <si>
    <t>Saldo Acumulado Atual</t>
  </si>
  <si>
    <t>💳 CONTAS A RECEBER</t>
  </si>
  <si>
    <t>Espelho do banco — motor em BD_CONTAS_RECEBER</t>
  </si>
  <si>
    <t>Total a receber:</t>
  </si>
  <si>
    <t>Dias em Atraso</t>
  </si>
  <si>
    <t>💰 CONTAS A PAGAR</t>
  </si>
  <si>
    <t>Fornecedores, vencimentos e situações</t>
  </si>
  <si>
    <t>Total pendente:</t>
  </si>
  <si>
    <t>Fornecedor</t>
  </si>
  <si>
    <t>Descrição</t>
  </si>
  <si>
    <t>Categoria</t>
  </si>
  <si>
    <t>Dias p/ Vencer</t>
  </si>
  <si>
    <t>Imobiliária Central</t>
  </si>
  <si>
    <t>Aluguel agosto</t>
  </si>
  <si>
    <t>Aluguel</t>
  </si>
  <si>
    <t>Pendente</t>
  </si>
  <si>
    <t>Enel SP</t>
  </si>
  <si>
    <t>Energia julho</t>
  </si>
  <si>
    <t>Energia</t>
  </si>
  <si>
    <t>Contábil Plus</t>
  </si>
  <si>
    <t>Honorários contábeis</t>
  </si>
  <si>
    <t>Contador</t>
  </si>
  <si>
    <t>Nutri Distribuidora</t>
  </si>
  <si>
    <t>Reposição whey/creatina</t>
  </si>
  <si>
    <t>Produtos (entrada)</t>
  </si>
  <si>
    <t>TechGym Manutenção</t>
  </si>
  <si>
    <t>Manutenção esteiras</t>
  </si>
  <si>
    <t>Manutenção</t>
  </si>
  <si>
    <t>🏋 PROFESSORES</t>
  </si>
  <si>
    <t>Equipe técnica e valores</t>
  </si>
  <si>
    <t>CREF</t>
  </si>
  <si>
    <t>Especialidade</t>
  </si>
  <si>
    <t>Salário</t>
  </si>
  <si>
    <t>Turmas</t>
  </si>
  <si>
    <t>P001</t>
  </si>
  <si>
    <t>CREF 123456-G/SP</t>
  </si>
  <si>
    <t>(11) 98888-1001</t>
  </si>
  <si>
    <t>Musculação</t>
  </si>
  <si>
    <t>P002</t>
  </si>
  <si>
    <t>CREF 234567-G/SP</t>
  </si>
  <si>
    <t>(11) 98888-1002</t>
  </si>
  <si>
    <t>Funcional</t>
  </si>
  <si>
    <t>P003</t>
  </si>
  <si>
    <t>CREF 345678-G/SP</t>
  </si>
  <si>
    <t>(11) 98888-1003</t>
  </si>
  <si>
    <t>Personal Trainer</t>
  </si>
  <si>
    <t>P004</t>
  </si>
  <si>
    <t>CREF 456789-G/SP</t>
  </si>
  <si>
    <t>(11) 98888-1004</t>
  </si>
  <si>
    <t>Avaliação Física</t>
  </si>
  <si>
    <t>📦 ESTOQUE</t>
  </si>
  <si>
    <t>Produtos · Entrada · Saída · Alerta de mínimo</t>
  </si>
  <si>
    <t>Fluxo de venda: registre Saída aqui → ajuste Qtd Atual → lance Receita/Produtos no Financeiro.</t>
  </si>
  <si>
    <t>Produto</t>
  </si>
  <si>
    <t>Qtd Atual</t>
  </si>
  <si>
    <t>Estoque Mínimo</t>
  </si>
  <si>
    <t>Custo Unit.</t>
  </si>
  <si>
    <t>Preço Venda</t>
  </si>
  <si>
    <t>Valor Estoque</t>
  </si>
  <si>
    <t>Margem Unit.</t>
  </si>
  <si>
    <t>Alerta</t>
  </si>
  <si>
    <t>MOVIMENTAÇÕES (Entrada / Saída / Venda)</t>
  </si>
  <si>
    <t>PR001</t>
  </si>
  <si>
    <t>Whey Protein 900g</t>
  </si>
  <si>
    <t>Suplementos</t>
  </si>
  <si>
    <t>Tipo</t>
  </si>
  <si>
    <t>Quantidade</t>
  </si>
  <si>
    <t>Valor Total</t>
  </si>
  <si>
    <t>Obs</t>
  </si>
  <si>
    <t>PR002</t>
  </si>
  <si>
    <t>Creatina 300g</t>
  </si>
  <si>
    <t>Saída/Venda</t>
  </si>
  <si>
    <t>Venda — Pedro Henrique</t>
  </si>
  <si>
    <t>PR003</t>
  </si>
  <si>
    <t>Barra Proteica</t>
  </si>
  <si>
    <t>PR004</t>
  </si>
  <si>
    <t>Camiseta Athenas</t>
  </si>
  <si>
    <t>Vestuário</t>
  </si>
  <si>
    <t>PR005</t>
  </si>
  <si>
    <t>Garrafa Squeeze</t>
  </si>
  <si>
    <t>Acessórios</t>
  </si>
  <si>
    <t>PR006</t>
  </si>
  <si>
    <t>Luvas Treino</t>
  </si>
  <si>
    <t>📦 EQUIPAMENTOS</t>
  </si>
  <si>
    <t>Aparelhos · Garantia · Manutenção</t>
  </si>
  <si>
    <t>Equipamento</t>
  </si>
  <si>
    <t>Data Compra</t>
  </si>
  <si>
    <t>Fim Garantia</t>
  </si>
  <si>
    <t>Próx. Manutenção</t>
  </si>
  <si>
    <t>Status Manutenção</t>
  </si>
  <si>
    <t>Dias p/ Manutenção</t>
  </si>
  <si>
    <t>Observações</t>
  </si>
  <si>
    <t>Leg Press 45°</t>
  </si>
  <si>
    <t>Supino Reto</t>
  </si>
  <si>
    <t>Esteira Profissional</t>
  </si>
  <si>
    <t>Bicicleta Ergométrica</t>
  </si>
  <si>
    <t>Smith Machine</t>
  </si>
  <si>
    <t>Cadeira Extensora</t>
  </si>
  <si>
    <t>Puxada Alta</t>
  </si>
  <si>
    <t>Halteres (kit 1-40kg)</t>
  </si>
  <si>
    <t>📋 AVALIAÇÃO FÍSICA</t>
  </si>
  <si>
    <t>IMC · Composição · Evolução</t>
  </si>
  <si>
    <t>Peso (kg)</t>
  </si>
  <si>
    <t>Altura (m)</t>
  </si>
  <si>
    <t>IMC</t>
  </si>
  <si>
    <t>% Gordura</t>
  </si>
  <si>
    <t>Massa Magra</t>
  </si>
  <si>
    <t>Classificação IMC</t>
  </si>
  <si>
    <t>EVOLUÇÃO — selecione aluno no filtro da tabela</t>
  </si>
  <si>
    <t>Boa evolução</t>
  </si>
  <si>
    <t>Redução de gordura</t>
  </si>
  <si>
    <t>Foco hipertrofia</t>
  </si>
  <si>
    <t>Início protocolo</t>
  </si>
  <si>
    <t>Personal 3x/semana</t>
  </si>
  <si>
    <t>Primeira avaliação</t>
  </si>
  <si>
    <t>📅 CONTROLE DE PRESENÇA</t>
  </si>
  <si>
    <t>Entrada · Saída · Frequência · Ranking</t>
  </si>
  <si>
    <t>Entrada</t>
  </si>
  <si>
    <t>Saída</t>
  </si>
  <si>
    <t>Tempo Treino (min)</t>
  </si>
  <si>
    <t>Check-in</t>
  </si>
  <si>
    <t>FREQUÊNCIA MENSAL / RANKING</t>
  </si>
  <si>
    <t>07:00</t>
  </si>
  <si>
    <t>08:15</t>
  </si>
  <si>
    <t>✅</t>
  </si>
  <si>
    <t>Check-ins (mês)</t>
  </si>
  <si>
    <t>Status Frequência</t>
  </si>
  <si>
    <t>18:00</t>
  </si>
  <si>
    <t>19:10</t>
  </si>
  <si>
    <t>19:00</t>
  </si>
  <si>
    <t>20:00</t>
  </si>
  <si>
    <t>06:30</t>
  </si>
  <si>
    <t>07:45</t>
  </si>
  <si>
    <t>12:00</t>
  </si>
  <si>
    <t>13:00</t>
  </si>
  <si>
    <t>17:30</t>
  </si>
  <si>
    <t>18:40</t>
  </si>
  <si>
    <t>07:05</t>
  </si>
  <si>
    <t>08:20</t>
  </si>
  <si>
    <t>08:00</t>
  </si>
  <si>
    <t>09:00</t>
  </si>
  <si>
    <t>Top frequentes: filtre a coluna Check-ins do maior para o menor.</t>
  </si>
  <si>
    <t>💰  DASHBOARD FINANCEIRO</t>
  </si>
  <si>
    <t>RECEITA PREVISTA</t>
  </si>
  <si>
    <t>RECEITA RECEBIDA</t>
  </si>
  <si>
    <t>EM ATRASO</t>
  </si>
  <si>
    <t>LUCRO</t>
  </si>
  <si>
    <t>CAIXA</t>
  </si>
  <si>
    <t>A RECEBER</t>
  </si>
  <si>
    <t>A PAGAR</t>
  </si>
  <si>
    <t>INADIMPLÊNCIA</t>
  </si>
  <si>
    <t>Fev</t>
  </si>
  <si>
    <t>Mar</t>
  </si>
  <si>
    <t>Abr</t>
  </si>
  <si>
    <t>Mai</t>
  </si>
  <si>
    <t>Jun</t>
  </si>
  <si>
    <t>Jul</t>
  </si>
  <si>
    <t>👤  DASHBOARD COMERCIAL</t>
  </si>
  <si>
    <t>MATRÍCULAS</t>
  </si>
  <si>
    <t>RENOVAÇÕES</t>
  </si>
  <si>
    <t>CANCELAMENTOS</t>
  </si>
  <si>
    <t>CONGELAMENTOS</t>
  </si>
  <si>
    <t>ALUNOS ATIVOS</t>
  </si>
  <si>
    <t>NOVOS ALUNOS</t>
  </si>
  <si>
    <t>CONVERSÃO</t>
  </si>
  <si>
    <t>CHURN</t>
  </si>
  <si>
    <t>RECEITA/PLANO</t>
  </si>
  <si>
    <t>INADIMPLENTES</t>
  </si>
  <si>
    <t>TOTAL ALUNOS</t>
  </si>
  <si>
    <t>PLANOS MAIS VENDIDOS</t>
  </si>
  <si>
    <t>Receita est.</t>
  </si>
  <si>
    <t>%</t>
  </si>
  <si>
    <t>Day Use</t>
  </si>
  <si>
    <t>🏋  DASHBOARD PROFESSORES</t>
  </si>
  <si>
    <t>PROFESSORES</t>
  </si>
  <si>
    <t>AVALIAÇÕES/MÊS</t>
  </si>
  <si>
    <t>PROFESSOR DO MÊS</t>
  </si>
  <si>
    <t>RANKING — ALUNOS POR PROFESSOR</t>
  </si>
  <si>
    <t>📦  DASHBOARD ESTOQUE</t>
  </si>
  <si>
    <t>PRODUTOS</t>
  </si>
  <si>
    <t>ESTOQUE BAIXO</t>
  </si>
  <si>
    <t>VALOR ESTOQUE</t>
  </si>
  <si>
    <t>SEMÁFORO</t>
  </si>
  <si>
    <t>ALERTAS DE ESTOQUE MÍNIMO</t>
  </si>
  <si>
    <t>Mínimo</t>
  </si>
  <si>
    <t>Dica: abra 09_ESTOQUE para entradas/saídas. O BI consolida alertas automaticamente.</t>
  </si>
  <si>
    <t>📦  DASHBOARD EQUIPAMENTOS</t>
  </si>
  <si>
    <t>EQUIPAMENTOS</t>
  </si>
  <si>
    <t>EM MANUTENÇÃO</t>
  </si>
  <si>
    <t>PRÓX. REVISÃO</t>
  </si>
  <si>
    <t>% OK</t>
  </si>
  <si>
    <t>STATUS DOS EQUIPAMENTOS</t>
  </si>
  <si>
    <t>Dias p/ revisão</t>
  </si>
  <si>
    <t>🏠  AGENDA INTELIGENTE</t>
  </si>
  <si>
    <t>Motor de eventos · atualizado por modAgenda</t>
  </si>
  <si>
    <t>EVENTOS HOJE</t>
  </si>
  <si>
    <t>ALTA PRIORIDADE</t>
  </si>
  <si>
    <t>MENSALIDADES</t>
  </si>
  <si>
    <t>AVALIAÇÕES</t>
  </si>
  <si>
    <t>📅 HOJE — PRIORIDADES</t>
  </si>
  <si>
    <t>Título</t>
  </si>
  <si>
    <t>Responsável</t>
  </si>
  <si>
    <t>📅 SEMANA — QUANTIDADE DE EVENTOS</t>
  </si>
  <si>
    <t>Seg</t>
  </si>
  <si>
    <t>Ter</t>
  </si>
  <si>
    <t>Qua</t>
  </si>
  <si>
    <t>Qui</t>
  </si>
  <si>
    <t>Sex</t>
  </si>
  <si>
    <t>Sáb</t>
  </si>
  <si>
    <t>Dom</t>
  </si>
  <si>
    <t>🔔 ALERTAS OPERACIONAIS</t>
  </si>
  <si>
    <t>🎂 ANIVERSARIANTES HOJE</t>
  </si>
  <si>
    <t>Idade</t>
  </si>
  <si>
    <t>EVENTOS DE HOJE POR TIPO</t>
  </si>
  <si>
    <t>Mensalidade</t>
  </si>
  <si>
    <t>Aula Experimental</t>
  </si>
  <si>
    <t>Renovação</t>
  </si>
  <si>
    <t>Aniversário</t>
  </si>
  <si>
    <t>Visões: Dia · Semana · Professor · Recepção · Financeiro · Manutenção  |  Botões abaixo atualizam o motor</t>
  </si>
  <si>
    <t>CRM INTELIGENTE — LEADS &amp; FUNIL</t>
  </si>
  <si>
    <t>LEADS MÊS</t>
  </si>
  <si>
    <t>EXPERIMENTAIS</t>
  </si>
  <si>
    <t>EM RISCO</t>
  </si>
  <si>
    <t>0%</t>
  </si>
  <si>
    <t>FUNIL DE VENDAS</t>
  </si>
  <si>
    <t>AGENDA COMERCIAL — HOJE</t>
  </si>
  <si>
    <t>Lead</t>
  </si>
  <si>
    <t>Resp.</t>
  </si>
  <si>
    <t>Leads</t>
  </si>
  <si>
    <t>Contatados</t>
  </si>
  <si>
    <t>Experimentais</t>
  </si>
  <si>
    <t>Matrículas</t>
  </si>
  <si>
    <t>Ativos</t>
  </si>
  <si>
    <t>LEADS (selecione a linha · use os botões)</t>
  </si>
  <si>
    <t>Origem</t>
  </si>
  <si>
    <t>Interesse</t>
  </si>
  <si>
    <t>Próxima Ação</t>
  </si>
  <si>
    <t>HISTÓRICO DO LEAD</t>
  </si>
  <si>
    <t>ALUNOS EM RISCO</t>
  </si>
  <si>
    <t>Motivo</t>
  </si>
  <si>
    <t>Fluxo: Lead → Contato → Experimental → Proposta → Matrícula · Conversão gera aluno + financeiro automaticamente</t>
  </si>
  <si>
    <t>DASHBOARD COMERCIAL (CRM)</t>
  </si>
  <si>
    <t>LEADS DO MÊS</t>
  </si>
  <si>
    <t>KPIs COMPLEMENTARES</t>
  </si>
  <si>
    <t>ORIGEM DOS LEADS</t>
  </si>
  <si>
    <t>Perdas</t>
  </si>
  <si>
    <t>Melhor origem</t>
  </si>
  <si>
    <t>Indicações</t>
  </si>
  <si>
    <t>Campanhas ativas</t>
  </si>
  <si>
    <t>RANKING COMERCIAL</t>
  </si>
  <si>
    <t>Consultor</t>
  </si>
  <si>
    <t>CAMPANHAS</t>
  </si>
  <si>
    <t>FUNIL (MÊS)</t>
  </si>
  <si>
    <t>Público</t>
  </si>
  <si>
    <t>Resultado</t>
  </si>
  <si>
    <t>AVALIACAO FISICA</t>
  </si>
  <si>
    <t>AVALIACOES MES</t>
  </si>
  <si>
    <t>REAVALIACOES</t>
  </si>
  <si>
    <t>ALUNOS AVALIADOS</t>
  </si>
  <si>
    <t>DELTA PESO MEDIO</t>
  </si>
  <si>
    <t>0 kg</t>
  </si>
  <si>
    <t>FICHA DA AVALIACAO</t>
  </si>
  <si>
    <t>MEDIDAS (cm)</t>
  </si>
  <si>
    <t>Matricula</t>
  </si>
  <si>
    <t>Peitoral</t>
  </si>
  <si>
    <t>Cintura</t>
  </si>
  <si>
    <t>Abdomen</t>
  </si>
  <si>
    <t>Quadril</t>
  </si>
  <si>
    <t>Biceps D</t>
  </si>
  <si>
    <t>Biceps E</t>
  </si>
  <si>
    <t>Antebraco</t>
  </si>
  <si>
    <t>Coxa</t>
  </si>
  <si>
    <t>Panturrilha</t>
  </si>
  <si>
    <t>Massa Gorda</t>
  </si>
  <si>
    <t>Ombros</t>
  </si>
  <si>
    <t>Objetivo</t>
  </si>
  <si>
    <t>Observacoes</t>
  </si>
  <si>
    <t>HISTORICO DE AVALIACOES (selecione a linha)</t>
  </si>
  <si>
    <t>Gordura</t>
  </si>
  <si>
    <t>EVOLUCAO — PESO</t>
  </si>
  <si>
    <t>COMPARACAO (Avaliacao A x B)</t>
  </si>
  <si>
    <t>Mes</t>
  </si>
  <si>
    <t>ID Aval. A</t>
  </si>
  <si>
    <t>ID Aval. B</t>
  </si>
  <si>
    <t>A</t>
  </si>
  <si>
    <t>B</t>
  </si>
  <si>
    <t>Delta</t>
  </si>
  <si>
    <t>Dados append-only · Reavaliacao automatica em 60 dias · Fotos = caminho do arquivo</t>
  </si>
  <si>
    <t>FICHAS DE TREINO</t>
  </si>
  <si>
    <t>TREINOS ATIVOS</t>
  </si>
  <si>
    <t>BIBLIOTECA</t>
  </si>
  <si>
    <t>VERSOES</t>
  </si>
  <si>
    <t>ALUNOS C/ FICHA</t>
  </si>
  <si>
    <t>TREINOS (selecione)</t>
  </si>
  <si>
    <t>Divisao</t>
  </si>
  <si>
    <t>Versao</t>
  </si>
  <si>
    <t>Inicio</t>
  </si>
  <si>
    <t>FICHA DO TREINO SELECIONADO</t>
  </si>
  <si>
    <t>Dia</t>
  </si>
  <si>
    <t>Grupo</t>
  </si>
  <si>
    <t>Exercicio</t>
  </si>
  <si>
    <t>Series</t>
  </si>
  <si>
    <t>Reps</t>
  </si>
  <si>
    <t>BIBLIOTECA DE EXERCICIOS</t>
  </si>
  <si>
    <t>Codigo</t>
  </si>
  <si>
    <t>EX001</t>
  </si>
  <si>
    <t>Peito</t>
  </si>
  <si>
    <t>Banco</t>
  </si>
  <si>
    <t>EX002</t>
  </si>
  <si>
    <t>Supino Inclinado</t>
  </si>
  <si>
    <t>EX003</t>
  </si>
  <si>
    <t>Crucifixo</t>
  </si>
  <si>
    <t>Halteres</t>
  </si>
  <si>
    <t>EX004</t>
  </si>
  <si>
    <t>Puxada Frontal</t>
  </si>
  <si>
    <t>Costas</t>
  </si>
  <si>
    <t>Pulley</t>
  </si>
  <si>
    <t>EX005</t>
  </si>
  <si>
    <t>Remada Curvada</t>
  </si>
  <si>
    <t>EX006</t>
  </si>
  <si>
    <t>Agachamento Livre</t>
  </si>
  <si>
    <t>Pernas</t>
  </si>
  <si>
    <t>EX007</t>
  </si>
  <si>
    <t>Leg Press</t>
  </si>
  <si>
    <t>EX008</t>
  </si>
  <si>
    <t>Extensão de Joelho</t>
  </si>
  <si>
    <t>EX009</t>
  </si>
  <si>
    <t>Desenvolvimento</t>
  </si>
  <si>
    <t>EX010</t>
  </si>
  <si>
    <t>Elevação Lateral</t>
  </si>
  <si>
    <t>EX011</t>
  </si>
  <si>
    <t>Rosca Direta</t>
  </si>
  <si>
    <t>Bíceps</t>
  </si>
  <si>
    <t>EX012</t>
  </si>
  <si>
    <t>Rosca Alternada</t>
  </si>
  <si>
    <t>Divisoes: Full Body · AB · ABC · ABCD · ABCDE · Personalizado · Cada alteracao gera nova versao</t>
  </si>
  <si>
    <t>CONTROLE DE ACESSO</t>
  </si>
  <si>
    <t>ENTRADAS HOJE</t>
  </si>
  <si>
    <t>DENTRO AGORA</t>
  </si>
  <si>
    <t>BLOQUEIOS</t>
  </si>
  <si>
    <t>AUSENTES +15D</t>
  </si>
  <si>
    <t>IDENTIFICACAO</t>
  </si>
  <si>
    <t>ULTIMOS ACESSOS (ALUNO)</t>
  </si>
  <si>
    <t>Saida</t>
  </si>
  <si>
    <t>Forma Acesso</t>
  </si>
  <si>
    <t>Manual</t>
  </si>
  <si>
    <t>DADOS DO ALUNO</t>
  </si>
  <si>
    <t>Situacao</t>
  </si>
  <si>
    <t>ACESSOS DE HOJE</t>
  </si>
  <si>
    <t>ALUNOS AUSENTES / RISCO</t>
  </si>
  <si>
    <t>Dias sem acesso</t>
  </si>
  <si>
    <t>Regras via BD_PARAMETROS (grupo Acesso) · Futuro: QR / Biometria / RFID via modIntegracoes</t>
  </si>
  <si>
    <t>DASHBOARD FREQUENCIA</t>
  </si>
  <si>
    <t>MEDIA DIARIA</t>
  </si>
  <si>
    <t>PICO</t>
  </si>
  <si>
    <t>—</t>
  </si>
  <si>
    <t>HORARIOS (HOJE)</t>
  </si>
  <si>
    <t>RANKING FREQUENCIA (MES)</t>
  </si>
  <si>
    <t>Presencas</t>
  </si>
  <si>
    <t>RESUMO</t>
  </si>
  <si>
    <t>FAIXAS MAIS UTILIZADAS</t>
  </si>
  <si>
    <t>Ativos hoje</t>
  </si>
  <si>
    <t>Faixa</t>
  </si>
  <si>
    <t>Ausentes +15d</t>
  </si>
  <si>
    <t>Ausentes +30d</t>
  </si>
  <si>
    <t>Tempo medio</t>
  </si>
  <si>
    <t>PDV — PONTO DE VENDA</t>
  </si>
  <si>
    <t>VENDAS HOJE</t>
  </si>
  <si>
    <t>ITENS</t>
  </si>
  <si>
    <t>TICKET MÉDIO</t>
  </si>
  <si>
    <t>LUCRO HOJE</t>
  </si>
  <si>
    <t>R$ 0</t>
  </si>
  <si>
    <t>VENDA ATUAL</t>
  </si>
  <si>
    <t>TOTAL</t>
  </si>
  <si>
    <t>Cliente / Aluno</t>
  </si>
  <si>
    <t>Balcão</t>
  </si>
  <si>
    <t>Código / Barras</t>
  </si>
  <si>
    <t>Itens no carrinho</t>
  </si>
  <si>
    <t>Preço</t>
  </si>
  <si>
    <t>Kit (opcional)</t>
  </si>
  <si>
    <t>CARRINHO</t>
  </si>
  <si>
    <t>Qtde</t>
  </si>
  <si>
    <t>Subtotal</t>
  </si>
  <si>
    <t>ÚLTIMAS VENDAS</t>
  </si>
  <si>
    <t>Cliente</t>
  </si>
  <si>
    <t>Total</t>
  </si>
  <si>
    <t>Fluxo: estoque → venda → financeiro → caixa → dashboard · Aluno pode lançar na mensalidade</t>
  </si>
  <si>
    <t>INVENTÁRIO</t>
  </si>
  <si>
    <t>DIFERENÇAS</t>
  </si>
  <si>
    <t>AJUSTES</t>
  </si>
  <si>
    <t>CONTAGEM</t>
  </si>
  <si>
    <t>Sistema</t>
  </si>
  <si>
    <t>Físico</t>
  </si>
  <si>
    <t>Diferença</t>
  </si>
  <si>
    <t>Ao finalizar, o sistema gera Ajuste em BD_MOVIMENTACAO_ESTOQUE sem apagar histórico.</t>
  </si>
  <si>
    <t>DASHBOARD PDV / ESTOQUE</t>
  </si>
  <si>
    <t>PRODUTOS VENDIDOS</t>
  </si>
  <si>
    <t>CRÍTICOS</t>
  </si>
  <si>
    <t>VENCENDO</t>
  </si>
  <si>
    <t>MARGEM MÉDIA</t>
  </si>
  <si>
    <t>MAIS VENDIDOS (MÊS)</t>
  </si>
  <si>
    <t>CURVA ABC</t>
  </si>
  <si>
    <t>Faturamento</t>
  </si>
  <si>
    <t>Classe</t>
  </si>
  <si>
    <t>Produtos</t>
  </si>
  <si>
    <t>% Fat.</t>
  </si>
  <si>
    <t>Lista</t>
  </si>
  <si>
    <t>C</t>
  </si>
  <si>
    <t>ALERTAS — ESTOQUE BAIXO / LOTES VENCENDO</t>
  </si>
  <si>
    <t>Detalhe</t>
  </si>
  <si>
    <t>ATHENAS GYM — RESUMO EXECUTIVO</t>
  </si>
  <si>
    <t>RECEITA</t>
  </si>
  <si>
    <t>LTV</t>
  </si>
  <si>
    <t>CAC</t>
  </si>
  <si>
    <t>FREQUÊNCIA</t>
  </si>
  <si>
    <t>ESTOQUE SAÚDE</t>
  </si>
  <si>
    <t>PREVISÃO MÊS+</t>
  </si>
  <si>
    <t>CAIXA 30D</t>
  </si>
  <si>
    <t>INTELIGÊNCIA COMERCIAL</t>
  </si>
  <si>
    <t>PREVISÃO DE CAIXA</t>
  </si>
  <si>
    <t>Plano mais vendido</t>
  </si>
  <si>
    <t>Hoje</t>
  </si>
  <si>
    <t>Horário pico</t>
  </si>
  <si>
    <t>30 dias</t>
  </si>
  <si>
    <t>Professor retenção</t>
  </si>
  <si>
    <t>60 dias</t>
  </si>
  <si>
    <t>Produto top</t>
  </si>
  <si>
    <t>Canal aquisição</t>
  </si>
  <si>
    <t>PREVISÃO FINANCEIRA (SÉRIE)</t>
  </si>
  <si>
    <t>DASHBOARD METAS</t>
  </si>
  <si>
    <t>Tendência</t>
  </si>
  <si>
    <t>Semáforo</t>
  </si>
  <si>
    <t>RANKING GERAL</t>
  </si>
  <si>
    <t>Destaque</t>
  </si>
  <si>
    <t>Score</t>
  </si>
  <si>
    <t>KPIs estratégicos: Receita · Lucro · Churn · LTV · CAC · Ticket · por plano/professor/unidade</t>
  </si>
  <si>
    <t>CENTRAL DE INSIGHTS + SIMULADOR</t>
  </si>
  <si>
    <t>INSIGHTS AUTOMÁTICOS</t>
  </si>
  <si>
    <t>INTELIGÊNCIA DE RETENÇÃO (ALTO RISCO)</t>
  </si>
  <si>
    <t>COMPRAS INTELIGENTES</t>
  </si>
  <si>
    <t>Recomendação</t>
  </si>
  <si>
    <t>Dias resto</t>
  </si>
  <si>
    <t>Comprar</t>
  </si>
  <si>
    <t>Qtde sug.</t>
  </si>
  <si>
    <t>SIMULADOR FINANCEIRO</t>
  </si>
  <si>
    <t>Cenário</t>
  </si>
  <si>
    <t>Aumentar plano Premium %</t>
  </si>
  <si>
    <t>Cenário 2</t>
  </si>
  <si>
    <t>Contratar professor (custo R$)</t>
  </si>
  <si>
    <t>Parâmetro %</t>
  </si>
  <si>
    <t>Custo mensal</t>
  </si>
  <si>
    <t>Capacidade +</t>
  </si>
  <si>
    <t>INDICADORES (BD_INDICADORES)</t>
  </si>
  <si>
    <t>Variação</t>
  </si>
  <si>
    <t>Critérios de risco: frequência ↓ · atraso · sem avaliação · sem compra · plano vencendo · sem acesso</t>
  </si>
  <si>
    <t>PORTAL DO ALUNO</t>
  </si>
  <si>
    <t>LOGIN ALUNO (demo)</t>
  </si>
  <si>
    <t>Usuário portal</t>
  </si>
  <si>
    <t>aluno</t>
  </si>
  <si>
    <t>PLANO</t>
  </si>
  <si>
    <t>PROFESSOR</t>
  </si>
  <si>
    <t>MENSALIDADE</t>
  </si>
  <si>
    <t>ÚLTIMO TREINO</t>
  </si>
  <si>
    <t>MEU TREINO</t>
  </si>
  <si>
    <t>MINHA EVOLUÇÃO</t>
  </si>
  <si>
    <t>Exercício</t>
  </si>
  <si>
    <t>Séries</t>
  </si>
  <si>
    <t>Gordura %</t>
  </si>
  <si>
    <t>Próx. avaliação</t>
  </si>
  <si>
    <t>FREQUÊNCIA / ACESSOS</t>
  </si>
  <si>
    <t>FINANCEIRO</t>
  </si>
  <si>
    <t>PIX / Pagar</t>
  </si>
  <si>
    <t>OBJETIVOS / DESAFIOS</t>
  </si>
  <si>
    <t>NOTIFICAÇÕES</t>
  </si>
  <si>
    <t>Item</t>
  </si>
  <si>
    <t>CHAT COM PROFESSOR</t>
  </si>
  <si>
    <t>Espelho do App/Portal · API cloud em /cloud/api · Flutter em /cloud/mobile</t>
  </si>
  <si>
    <t>PORTAL DO PROFESSOR</t>
  </si>
  <si>
    <t>AVALIAÇÕES HOJE</t>
  </si>
  <si>
    <t>ALUNOS</t>
  </si>
  <si>
    <t>REAVALIAÇÕES</t>
  </si>
  <si>
    <t>ALUNO SELECIONADO</t>
  </si>
  <si>
    <t>AGENDA DO DIA</t>
  </si>
  <si>
    <t>Treino</t>
  </si>
  <si>
    <t>Última avaliação</t>
  </si>
  <si>
    <t>CHAT — MENSAGENS COM O ALUNO</t>
  </si>
  <si>
    <t>Nova mensagem</t>
  </si>
  <si>
    <t>PORTAL RECEPÇÃO / GESTOR</t>
  </si>
  <si>
    <t>RECEPÇÃO — HOJE</t>
  </si>
  <si>
    <t>PAGAMENTOS</t>
  </si>
  <si>
    <t>VISITAS</t>
  </si>
  <si>
    <t>GESTOR — RESUMO</t>
  </si>
  <si>
    <t>SYNC CLOUD / API</t>
  </si>
  <si>
    <t>URL API</t>
  </si>
  <si>
    <t>http://127.0.0.1:8002</t>
  </si>
  <si>
    <t>Última sync</t>
  </si>
  <si>
    <t>Pronto para sincronizar</t>
  </si>
  <si>
    <t>Arquivo export</t>
  </si>
  <si>
    <t>Ações: matrícula · pagamento · acesso · experimental — via ERP Excel; web consome a mesma API.</t>
  </si>
  <si>
    <t>ATHENA AI — ASSISTENTE INTELIGENTE</t>
  </si>
  <si>
    <t>Bom dia. Analise os dados da academia, faça perguntas e receba recomendações.</t>
  </si>
  <si>
    <t>COBRANÇAS</t>
  </si>
  <si>
    <t>FALTA ESTOQUE</t>
  </si>
  <si>
    <t>RECEITA PREV. HOJE</t>
  </si>
  <si>
    <t>FAÇA UMA PERGUNTA</t>
  </si>
  <si>
    <t>Pergunta</t>
  </si>
  <si>
    <t>Quanto faturei este mês?</t>
  </si>
  <si>
    <t>RESPOSTA ATHENA</t>
  </si>
  <si>
    <t>Clique em Perguntar para analisar os dados do ERP.</t>
  </si>
  <si>
    <t>EXEMPLOS</t>
  </si>
  <si>
    <t>PREVISÃO FINANCEIRA</t>
  </si>
  <si>
    <t>Hoje / atual</t>
  </si>
  <si>
    <t>Quem está em risco de cancelar?</t>
  </si>
  <si>
    <t>Quais produtos devo comprar?</t>
  </si>
  <si>
    <t>Qual o horário de pico?</t>
  </si>
  <si>
    <t>90 dias</t>
  </si>
  <si>
    <t>Como está o churn?</t>
  </si>
  <si>
    <t>Previsão de receita em 90 dias?</t>
  </si>
  <si>
    <t>INSIGHTS AUTOMÁTICOS (FINANCEIRO · COMERCIAL · OPERACIONAL)</t>
  </si>
  <si>
    <t>AUTOMACÕES — WhatsApp / E-mail / Relatório (filas geradas)</t>
  </si>
  <si>
    <t>Canal</t>
  </si>
  <si>
    <t>Mensagem / Assunto</t>
  </si>
  <si>
    <t>Motor rule-based sobre o ERP · reutiliza BI/CRM/Estoque/Acesso · BD_INSIGHTS · BD_PREVISOES · BD_RECOMENDACOES · SQL cloud na evolução</t>
  </si>
  <si>
    <t>CENTRAL DE RECOMENDAÇÕES</t>
  </si>
  <si>
    <t>PENDENTES</t>
  </si>
  <si>
    <t>CONCLUÍDAS</t>
  </si>
  <si>
    <t>MÓDULOS</t>
  </si>
  <si>
    <t>RECOMENDAÇÕES DO DIA</t>
  </si>
  <si>
    <t>Pri.</t>
  </si>
  <si>
    <t>LEGENDA DE PRIORIDADE</t>
  </si>
  <si>
    <t>🔴 Cobranças / financeiro crítico</t>
  </si>
  <si>
    <t>🟠 Estoque / ruptura</t>
  </si>
  <si>
    <t>🟡 Treinos desatualizados</t>
  </si>
  <si>
    <t>🟢 Retenção / campanhas</t>
  </si>
  <si>
    <t>🔵 Reavaliações / agenda</t>
  </si>
  <si>
    <t>Atualize com AtualizarRecomendacoes · execute ações no módulo responsável · marque Situação no BD.</t>
  </si>
  <si>
    <t>ATHENAS PLATFORM — MASTER</t>
  </si>
  <si>
    <t>ACADEMIAS</t>
  </si>
  <si>
    <t>FATURAMENTO</t>
  </si>
  <si>
    <t>USUÁRIOS ONLINE</t>
  </si>
  <si>
    <t>ACADEMIAS CADASTRADAS</t>
  </si>
  <si>
    <t>Fantasia</t>
  </si>
  <si>
    <t>CNPJ</t>
  </si>
  <si>
    <t>Expiração</t>
  </si>
  <si>
    <t>LICENÇAS</t>
  </si>
  <si>
    <t>Empresa</t>
  </si>
  <si>
    <t>Chave</t>
  </si>
  <si>
    <t>Dias restantes</t>
  </si>
  <si>
    <t>Somente SuperAdmin · TrocarEmpresa carrega tenant · Nova Academia faz bootstrap completo.</t>
  </si>
  <si>
    <t>NOVA ACADEMIA</t>
  </si>
  <si>
    <t>Razão Social</t>
  </si>
  <si>
    <t>Nome Fantasia</t>
  </si>
  <si>
    <t>Estado</t>
  </si>
  <si>
    <t>SP</t>
  </si>
  <si>
    <t>Pro</t>
  </si>
  <si>
    <t>Admin Login</t>
  </si>
  <si>
    <t>admin</t>
  </si>
  <si>
    <t>Admin Senha</t>
  </si>
  <si>
    <t>123456</t>
  </si>
  <si>
    <t>Admin Nome</t>
  </si>
  <si>
    <t>Administrador</t>
  </si>
  <si>
    <t>Planos: Basic · Pro · Enterprise — ao criar: empresa + licença + admin + configs padrão.</t>
  </si>
  <si>
    <t>STATUS</t>
  </si>
  <si>
    <t>Preencha os campos e clique em Criar Academia.</t>
  </si>
  <si>
    <t>CADASTRO DE UNIDADE</t>
  </si>
  <si>
    <t>Épico 2 C/D — filiais · transferências · professores multiunidade · KPIs</t>
  </si>
  <si>
    <t>MX</t>
  </si>
  <si>
    <t>Ativa</t>
  </si>
  <si>
    <t>Unidade ativa na sessão (TrocarUnidade)</t>
  </si>
  <si>
    <t>Nome sessão</t>
  </si>
  <si>
    <t>ATHENAS GYM Matriz</t>
  </si>
  <si>
    <t>ALUNOS UNIDADE</t>
  </si>
  <si>
    <t>RECEITA MÊS</t>
  </si>
  <si>
    <t>ESTOQUE SKUS</t>
  </si>
  <si>
    <t>0</t>
  </si>
  <si>
    <t>R$ 0,00</t>
  </si>
  <si>
    <t>UNIDADES ATIVAS</t>
  </si>
  <si>
    <t>2</t>
  </si>
  <si>
    <t>Comparativo por unidade (AtualizarDashboardUnidades)</t>
  </si>
  <si>
    <t>Alunos ativos</t>
  </si>
  <si>
    <t>Receita mês</t>
  </si>
  <si>
    <t>SKUs estoque</t>
  </si>
  <si>
    <t>Ações: CadastrarUnidade · TrocarUnidade · TransferirEstoque · VincularProfessorUnidade · AtualizarDashboardUnidades</t>
  </si>
  <si>
    <t>ATHENAS FRANCHISE</t>
  </si>
  <si>
    <t>Épico 3 — Portal da Franqueadora · rede · royalties · ranking</t>
  </si>
  <si>
    <t>FRANQUIAS</t>
  </si>
  <si>
    <t>UNIDADES</t>
  </si>
  <si>
    <t>3</t>
  </si>
  <si>
    <t>RECEITA REDE</t>
  </si>
  <si>
    <t>ROYALTIES</t>
  </si>
  <si>
    <t>RANKING DAS FRANQUIAS</t>
  </si>
  <si>
    <t>Franquia</t>
  </si>
  <si>
    <t>Crescimento</t>
  </si>
  <si>
    <t>Royalties</t>
  </si>
  <si>
    <t>CADASTRO RÁPIDO — FRANQUEADO</t>
  </si>
  <si>
    <t>CPF/CNPJ</t>
  </si>
  <si>
    <t>Contrato</t>
  </si>
  <si>
    <t>Sessão franquia</t>
  </si>
  <si>
    <t>FranqueadoraID</t>
  </si>
  <si>
    <t>FranqueadoID</t>
  </si>
  <si>
    <t>Nome rede</t>
  </si>
  <si>
    <t>Relatório / competência</t>
  </si>
  <si>
    <t>Use GerarRelatorioFranqueadora para preencher este bloco.</t>
  </si>
  <si>
    <t>Ações: CadastrarFranqueado · CalcularRoyalties · AtualizarDashboardFranqueadora · GerarRelatorioFranqueadora</t>
  </si>
  <si>
    <t>Central de Relatórios</t>
  </si>
  <si>
    <t>CONFIGURAÇÕES</t>
  </si>
  <si>
    <t>Cadastros mestres que alimentam as listas suspensas</t>
  </si>
  <si>
    <t>Preencha as listas abaixo. Elas alimentam automaticamente os formulários.</t>
  </si>
  <si>
    <t>PLANOS</t>
  </si>
  <si>
    <t>FORMAS_PAGAMENTO</t>
  </si>
  <si>
    <t>BANCOS</t>
  </si>
  <si>
    <t>CAT_RECEITA</t>
  </si>
  <si>
    <t>CAT_DESPESA</t>
  </si>
  <si>
    <t>STATUS_ALUNO</t>
  </si>
  <si>
    <t>STATUS_PAGAMENTO</t>
  </si>
  <si>
    <t>SEXOS</t>
  </si>
  <si>
    <t>ESPECIALIDADES</t>
  </si>
  <si>
    <t>STATUS_PROFESSOR</t>
  </si>
  <si>
    <t>PARAMETROS</t>
  </si>
  <si>
    <t>Parâmetro</t>
  </si>
  <si>
    <t>Nubank</t>
  </si>
  <si>
    <t>Mensalidades</t>
  </si>
  <si>
    <t>Taxa de Matrícula</t>
  </si>
  <si>
    <t>Dinheiro</t>
  </si>
  <si>
    <t>Inter</t>
  </si>
  <si>
    <t>Férias</t>
  </si>
  <si>
    <t>Dia padrão vencimento</t>
  </si>
  <si>
    <t>Cartão Débito</t>
  </si>
  <si>
    <t>Itaú</t>
  </si>
  <si>
    <t>Água</t>
  </si>
  <si>
    <t>Cancelado</t>
  </si>
  <si>
    <t>Outro</t>
  </si>
  <si>
    <t>Cross Training</t>
  </si>
  <si>
    <t>Inativo</t>
  </si>
  <si>
    <t>Estoque mínimo padrão</t>
  </si>
  <si>
    <t>Cartão Crédito</t>
  </si>
  <si>
    <t>Bradesco</t>
  </si>
  <si>
    <t>Internet</t>
  </si>
  <si>
    <t>Vence hoje</t>
  </si>
  <si>
    <t>Yoga</t>
  </si>
  <si>
    <t>Dias alerta manutenção</t>
  </si>
  <si>
    <t>Boleto</t>
  </si>
  <si>
    <t>Caixa</t>
  </si>
  <si>
    <t>Funcionários</t>
  </si>
  <si>
    <t>Pilates</t>
  </si>
  <si>
    <t>Saldo inicial caixa</t>
  </si>
  <si>
    <t>Transferência</t>
  </si>
  <si>
    <t>Santander</t>
  </si>
  <si>
    <t>Outros</t>
  </si>
  <si>
    <t>Salários</t>
  </si>
  <si>
    <t>Próximo código aluno</t>
  </si>
  <si>
    <t>Caixa Interna</t>
  </si>
  <si>
    <t>Marketing</t>
  </si>
  <si>
    <t>Meta receita mês (R$)</t>
  </si>
  <si>
    <t>Bloquear e-mail duplicado</t>
  </si>
  <si>
    <t>NÃO</t>
  </si>
  <si>
    <t>Limpeza</t>
  </si>
  <si>
    <t>Bloquear telefone duplicado</t>
  </si>
  <si>
    <t>INSTRUÇÕES DE USO</t>
  </si>
  <si>
    <t>Impostos</t>
  </si>
  <si>
    <t>1. Cadastre planos, categorias e professores nesta aba.</t>
  </si>
  <si>
    <t>Produtos (Repos)</t>
  </si>
  <si>
    <t>2. Cadastre alunos pelo FORM_ALUNO (grava em BD_ALUNOS / tbAlunos).</t>
  </si>
  <si>
    <t>3. Código sugerido: ="A"&amp;TEXT(COUNTA([Código])+1,"000")</t>
  </si>
  <si>
    <t>4. Ao marcar mensalidade como PAGO, o financeiro e o dashboard atualizam.</t>
  </si>
  <si>
    <t>5. Vendas de produtos: lance em 04_FINANCEIRO (Receita/Produtos) e baixe em 09_ESTOQUE.</t>
  </si>
  <si>
    <t>6. Células com fórmulas estão protegidas no conceito — não sobrescreva colunas calculadas.</t>
  </si>
  <si>
    <t>7. Use Filtros das tabelas Excel para pesquisar alunos rapidamente.</t>
  </si>
  <si>
    <t>8. Relatórios: filtre por mês nas abas Financeiro, Fluxo e Dashboards.</t>
  </si>
  <si>
    <t>Usuário</t>
  </si>
  <si>
    <t>Senha</t>
  </si>
  <si>
    <t>Perfil</t>
  </si>
  <si>
    <t>Token</t>
  </si>
  <si>
    <t>Super Admin Plataforma</t>
  </si>
  <si>
    <t>super</t>
  </si>
  <si>
    <t>SuperAdmin</t>
  </si>
  <si>
    <t>financeiro</t>
  </si>
  <si>
    <t>Recepção</t>
  </si>
  <si>
    <t>recepcao</t>
  </si>
  <si>
    <t>professor</t>
  </si>
  <si>
    <t>Aluno Demo</t>
  </si>
  <si>
    <t>demo-token-aluno-001</t>
  </si>
  <si>
    <t>Franqueadora Rede</t>
  </si>
  <si>
    <t>franqueadora</t>
  </si>
  <si>
    <t>Franqueadora</t>
  </si>
  <si>
    <t>Franqueado SP</t>
  </si>
  <si>
    <t>franqueado</t>
  </si>
  <si>
    <t>Franqueado</t>
  </si>
  <si>
    <t>Épico 2: UnidadeID (0=todas/multi). EmpresaID 0=plataforma SuperAdmin.</t>
  </si>
  <si>
    <t>UsuarioLogado</t>
  </si>
  <si>
    <t>NomeUsuario</t>
  </si>
  <si>
    <t>PerfilUsuario</t>
  </si>
  <si>
    <t>DataLogin</t>
  </si>
  <si>
    <t>NomeEmpresa</t>
  </si>
  <si>
    <t>PlanoEmpresa</t>
  </si>
  <si>
    <t>NomeUnidade</t>
  </si>
  <si>
    <t>Espelho da sessão (modSessao) — empresa + unidade + franquia — não editar</t>
  </si>
  <si>
    <t>Banco canônico — EmpresaID + UnidadeID (Épico 2) · cadastro via frmAluno.</t>
  </si>
  <si>
    <t>Desconto</t>
  </si>
  <si>
    <t>Multa</t>
  </si>
  <si>
    <t>Juros</t>
  </si>
  <si>
    <t>Data Vencimento</t>
  </si>
  <si>
    <t>Data Pagamento</t>
  </si>
  <si>
    <t>Abril/2026</t>
  </si>
  <si>
    <t>Maio/2026</t>
  </si>
  <si>
    <t>Documento</t>
  </si>
  <si>
    <t>Débito</t>
  </si>
  <si>
    <t>Crédito</t>
  </si>
  <si>
    <t>Recebimento</t>
  </si>
  <si>
    <t>REC-000001</t>
  </si>
  <si>
    <t>REC-000002</t>
  </si>
  <si>
    <t>REC-000003</t>
  </si>
  <si>
    <t>REC-000004</t>
  </si>
  <si>
    <t>REC-000005</t>
  </si>
  <si>
    <t>REC-000006</t>
  </si>
  <si>
    <t>REC-000007</t>
  </si>
  <si>
    <t>REC-000008</t>
  </si>
  <si>
    <t>REC-000009</t>
  </si>
  <si>
    <t>REC-000010</t>
  </si>
  <si>
    <t>REC-000011</t>
  </si>
  <si>
    <t>REC-000012</t>
  </si>
  <si>
    <t>PAG-000013</t>
  </si>
  <si>
    <t>PAG-000014</t>
  </si>
  <si>
    <t>PAG-000015</t>
  </si>
  <si>
    <t>PAG-000016</t>
  </si>
  <si>
    <t>PAG-000017</t>
  </si>
  <si>
    <t>Receb. Mariana Oliveira</t>
  </si>
  <si>
    <t>Receb. Pedro Henrique Alves</t>
  </si>
  <si>
    <t>Receb. Fernanda Ribeiro</t>
  </si>
  <si>
    <t>Receb. Lucas Martins</t>
  </si>
  <si>
    <t>Receb. Beatriz Nogueira</t>
  </si>
  <si>
    <t>Receb. Thiago Ferreira</t>
  </si>
  <si>
    <t>Receb. Camila Santos</t>
  </si>
  <si>
    <t>Receb. Gustavo Rocha</t>
  </si>
  <si>
    <t>Aluguel mensal</t>
  </si>
  <si>
    <t>Conta energia</t>
  </si>
  <si>
    <t>Folha</t>
  </si>
  <si>
    <t>PrefixoMatricula</t>
  </si>
  <si>
    <t>ATH</t>
  </si>
  <si>
    <t>Prefixo da matrícula</t>
  </si>
  <si>
    <t>AnoAtual</t>
  </si>
  <si>
    <t>Ano corrente da matrícula</t>
  </si>
  <si>
    <t>5.0.0</t>
  </si>
  <si>
    <t>Versão do ERP</t>
  </si>
  <si>
    <t>CRM</t>
  </si>
  <si>
    <t>DiasSemPresenca</t>
  </si>
  <si>
    <t>Dias sem check-in = aluno em risco</t>
  </si>
  <si>
    <t>DiasPlanoVencendo</t>
  </si>
  <si>
    <t>Dias antes do vencimento do plano</t>
  </si>
  <si>
    <t>FrequenciaMinimaMes</t>
  </si>
  <si>
    <t>Check-ins mínimos no mês</t>
  </si>
  <si>
    <t>BonusIndicacao</t>
  </si>
  <si>
    <t>Bônus R$ quando indicação vira aluno</t>
  </si>
  <si>
    <t>Treinos</t>
  </si>
  <si>
    <t>DiasReavaliacao</t>
  </si>
  <si>
    <t>Dias para próxima avaliação física</t>
  </si>
  <si>
    <t>Acesso</t>
  </si>
  <si>
    <t>BloquearInadimplente</t>
  </si>
  <si>
    <t>SIM</t>
  </si>
  <si>
    <t>SIM ou NAO — bloquear entrada se atrasado</t>
  </si>
  <si>
    <t>DiasTolerancia</t>
  </si>
  <si>
    <t>Dias de tolerancia financeira (referencia)</t>
  </si>
  <si>
    <t>PermitirLiberacaoManual</t>
  </si>
  <si>
    <t>SIM permite override na recepcao</t>
  </si>
  <si>
    <t>RegistrarSaida</t>
  </si>
  <si>
    <t>SIM registra saida e tempo</t>
  </si>
  <si>
    <t>TempoMaximoPermanencia</t>
  </si>
  <si>
    <t>Horas maximas de permanencia</t>
  </si>
  <si>
    <t>DiasSemAcessoRisco</t>
  </si>
  <si>
    <t>Dias sem acesso = risco/CRM</t>
  </si>
  <si>
    <t>Integracoes</t>
  </si>
  <si>
    <t>QRCode</t>
  </si>
  <si>
    <t>NAO</t>
  </si>
  <si>
    <t>Habilitar leitor QR</t>
  </si>
  <si>
    <t>Biometria</t>
  </si>
  <si>
    <t>Habilitar biometria</t>
  </si>
  <si>
    <t>RFID</t>
  </si>
  <si>
    <t>Habilitar cartao RFID/NFC</t>
  </si>
  <si>
    <t>AppAluno</t>
  </si>
  <si>
    <t>Habilitar app do aluno</t>
  </si>
  <si>
    <t>UnidadePadrao</t>
  </si>
  <si>
    <t>Unidade operacional padrão</t>
  </si>
  <si>
    <t>DiasAlertaValidade</t>
  </si>
  <si>
    <t>Dias para alertar lote vencendo</t>
  </si>
  <si>
    <t>PerguntarMensalidade</t>
  </si>
  <si>
    <t>PDV pergunta se lança na mensalidade</t>
  </si>
  <si>
    <t>EstoqueMinimoPadrao</t>
  </si>
  <si>
    <t>Mínimo padrão ao cadastrar</t>
  </si>
  <si>
    <t>BI</t>
  </si>
  <si>
    <t>CACEstimadoMes</t>
  </si>
  <si>
    <t>Marketing mensal estimado para CAC</t>
  </si>
  <si>
    <t>Dias sem acesso = risco retenção BI</t>
  </si>
  <si>
    <t>AbrirExecutivoLogin</t>
  </si>
  <si>
    <t>SIM abre 31_BI_EXECUTIVO após login</t>
  </si>
  <si>
    <t>Portal</t>
  </si>
  <si>
    <t>ApiUrl</t>
  </si>
  <si>
    <t>URL da API cloud (Supabase)</t>
  </si>
  <si>
    <t>SyncUser</t>
  </si>
  <si>
    <t>Usuário para POST /sync/push</t>
  </si>
  <si>
    <t>SyncPass</t>
  </si>
  <si>
    <t>Senha para POST /sync/push</t>
  </si>
  <si>
    <t>SyncAutoPush</t>
  </si>
  <si>
    <t>SIM = após exportar JSON, envia à API</t>
  </si>
  <si>
    <t>MatriculaDemo</t>
  </si>
  <si>
    <t>Matrícula demo do portal aluno</t>
  </si>
  <si>
    <t>AppAtivo</t>
  </si>
  <si>
    <t>Habilita espelho portal no Excel</t>
  </si>
  <si>
    <t>Athena</t>
  </si>
  <si>
    <t>DiasTreinoDesatualizado</t>
  </si>
  <si>
    <t>Dias para sugerir atualização de treino</t>
  </si>
  <si>
    <t>AbrirAthenaLogin</t>
  </si>
  <si>
    <t>SIM abre 36_ATHENA_AI após login</t>
  </si>
  <si>
    <t>% multa por atraso</t>
  </si>
  <si>
    <t>% juros ao mês</t>
  </si>
  <si>
    <t>Dias sem multa após vencimento</t>
  </si>
  <si>
    <t>DiaVencimentoPadrao</t>
  </si>
  <si>
    <t>Dia padrão de vencimento</t>
  </si>
  <si>
    <t>MetaReceitaMes</t>
  </si>
  <si>
    <t>Meta de receita do mês</t>
  </si>
  <si>
    <t>BloquearEmailDuplicado</t>
  </si>
  <si>
    <t>SIM ou NÃO</t>
  </si>
  <si>
    <t>BloquearTelefoneDuplicado</t>
  </si>
  <si>
    <t>Academia</t>
  </si>
  <si>
    <t>Nome da academia</t>
  </si>
  <si>
    <t>(11) 99999-9999</t>
  </si>
  <si>
    <t>Contato</t>
  </si>
  <si>
    <t>contato@athenasgym.com.br</t>
  </si>
  <si>
    <t>E-mail de contato</t>
  </si>
  <si>
    <t>Moeda</t>
  </si>
  <si>
    <t>R$</t>
  </si>
  <si>
    <t>Símbolo de moeda</t>
  </si>
  <si>
    <t>ObterParametro("Grupo","Parâmetro") — altere valores sem editar VBA.</t>
  </si>
  <si>
    <t>Fidelidade</t>
  </si>
  <si>
    <t>Premium</t>
  </si>
  <si>
    <t>VIP</t>
  </si>
  <si>
    <t>Taxa</t>
  </si>
  <si>
    <t>CompensaEmDias</t>
  </si>
  <si>
    <t>Concluído</t>
  </si>
  <si>
    <t>Dashboard</t>
  </si>
  <si>
    <t>Configuração</t>
  </si>
  <si>
    <t>Relatorios</t>
  </si>
  <si>
    <t>Excluir</t>
  </si>
  <si>
    <t>Cor</t>
  </si>
  <si>
    <t>Menu</t>
  </si>
  <si>
    <t>#A3001E</t>
  </si>
  <si>
    <t>Botão</t>
  </si>
  <si>
    <t>#D4AF37</t>
  </si>
  <si>
    <t>Fundo</t>
  </si>
  <si>
    <t>#FFFFFF</t>
  </si>
  <si>
    <t>#000000</t>
  </si>
  <si>
    <t>Canvas</t>
  </si>
  <si>
    <t>#F3F3F3</t>
  </si>
  <si>
    <t>Painel</t>
  </si>
  <si>
    <t>#5C0010</t>
  </si>
  <si>
    <t>Unidade</t>
  </si>
  <si>
    <t>Área</t>
  </si>
  <si>
    <t>Novos alunos</t>
  </si>
  <si>
    <t>N</t>
  </si>
  <si>
    <t>Comercial</t>
  </si>
  <si>
    <t>Alunos Ativos</t>
  </si>
  <si>
    <t>Avaliações</t>
  </si>
  <si>
    <t>Operacional</t>
  </si>
  <si>
    <t>Estratégico</t>
  </si>
  <si>
    <t>Prioridade</t>
  </si>
  <si>
    <t>Lida</t>
  </si>
  <si>
    <t>🔴</t>
  </si>
  <si>
    <t>Mensalidades vencidas — verifique Contas a Receber</t>
  </si>
  <si>
    <t>04_FINANCEIRO</t>
  </si>
  <si>
    <t>Produtos abaixo do mínimo — verifique Estoque</t>
  </si>
  <si>
    <t>09_ESTOQUE</t>
  </si>
  <si>
    <t>🟢</t>
  </si>
  <si>
    <t>Acompanhe o progresso das metas no Dashboard</t>
  </si>
  <si>
    <t>01_DASHBOARD</t>
  </si>
  <si>
    <t>Mensalidade vence hoje</t>
  </si>
  <si>
    <t>Aluno demo</t>
  </si>
  <si>
    <t>Alta</t>
  </si>
  <si>
    <t>Auto</t>
  </si>
  <si>
    <t>Avaliação física agendada</t>
  </si>
  <si>
    <t>Maria Silva</t>
  </si>
  <si>
    <t>10:00</t>
  </si>
  <si>
    <t>Média</t>
  </si>
  <si>
    <t>Aula experimental</t>
  </si>
  <si>
    <t>Carlos Lima</t>
  </si>
  <si>
    <t>Baixa</t>
  </si>
  <si>
    <t>Revisão de equipamento</t>
  </si>
  <si>
    <t>Esteira 03</t>
  </si>
  <si>
    <t>16:00</t>
  </si>
  <si>
    <t>Estoque mínimo atingido</t>
  </si>
  <si>
    <t>Creatina</t>
  </si>
  <si>
    <t>Aniversário do aluno</t>
  </si>
  <si>
    <t>João Pedro</t>
  </si>
  <si>
    <t>00:00</t>
  </si>
  <si>
    <t>Mensalidade vence em 5 dias</t>
  </si>
  <si>
    <t>Ana Costa</t>
  </si>
  <si>
    <t>Plano próximo do vencimento</t>
  </si>
  <si>
    <t>Premium — Pedro</t>
  </si>
  <si>
    <t>Nível</t>
  </si>
  <si>
    <t>Ícone</t>
  </si>
  <si>
    <t>Filtro</t>
  </si>
  <si>
    <t>Mensalidade vencida</t>
  </si>
  <si>
    <t>Crítica</t>
  </si>
  <si>
    <t>Equipamento parado</t>
  </si>
  <si>
    <t>10_EQUIPAMENTOS</t>
  </si>
  <si>
    <t>Estoque crítico</t>
  </si>
  <si>
    <t>🟠</t>
  </si>
  <si>
    <t>Plano vencendo</t>
  </si>
  <si>
    <t>02_ALUNOS</t>
  </si>
  <si>
    <t>Avaliação física</t>
  </si>
  <si>
    <t>Informativa</t>
  </si>
  <si>
    <t>20_AGENDA</t>
  </si>
  <si>
    <t>Avaliação</t>
  </si>
  <si>
    <t>Experimental</t>
  </si>
  <si>
    <t>Pagamento previsto</t>
  </si>
  <si>
    <t>🔵</t>
  </si>
  <si>
    <t>Data Cadastro</t>
  </si>
  <si>
    <t>Data Próxima</t>
  </si>
  <si>
    <t>João Pedro Silva</t>
  </si>
  <si>
    <t>joao.p@email.com</t>
  </si>
  <si>
    <t>Instagram</t>
  </si>
  <si>
    <t>Lucas</t>
  </si>
  <si>
    <t>Novo</t>
  </si>
  <si>
    <t>Pediu info de planos</t>
  </si>
  <si>
    <t>Ligar</t>
  </si>
  <si>
    <t>Maria Fernanda Costa</t>
  </si>
  <si>
    <t>(11) 97777-2002</t>
  </si>
  <si>
    <t>maria.f@email.com</t>
  </si>
  <si>
    <t>Indicação</t>
  </si>
  <si>
    <t>Maria</t>
  </si>
  <si>
    <t>Contatado</t>
  </si>
  <si>
    <t>Indicada pela aluna Ana</t>
  </si>
  <si>
    <t>Confirmar aula</t>
  </si>
  <si>
    <t>Carlos Eduardo Lima</t>
  </si>
  <si>
    <t>(11) 96666-3003</t>
  </si>
  <si>
    <t>carlos.e@email.com</t>
  </si>
  <si>
    <t>Google</t>
  </si>
  <si>
    <t>Agendado</t>
  </si>
  <si>
    <t>Aula experimental marcada</t>
  </si>
  <si>
    <t>Ana Beatriz Rocha</t>
  </si>
  <si>
    <t>(11) 95555-4004</t>
  </si>
  <si>
    <t>ana.b@email.com</t>
  </si>
  <si>
    <t>João</t>
  </si>
  <si>
    <t>Convertido</t>
  </si>
  <si>
    <t>Matriculou Premium</t>
  </si>
  <si>
    <t>(11) 94444-5005</t>
  </si>
  <si>
    <t>Facebook</t>
  </si>
  <si>
    <t>Aguardando proposta</t>
  </si>
  <si>
    <t>Enviar proposta</t>
  </si>
  <si>
    <t>Juliana Souza</t>
  </si>
  <si>
    <t>(11) 93333-6006</t>
  </si>
  <si>
    <t>ju.souza@email.com</t>
  </si>
  <si>
    <t>Site</t>
  </si>
  <si>
    <t>Perdido</t>
  </si>
  <si>
    <t>Escolheu concorrente</t>
  </si>
  <si>
    <t>Rafael Mendes</t>
  </si>
  <si>
    <t>(11) 92222-7007</t>
  </si>
  <si>
    <t>rafa.m@email.com</t>
  </si>
  <si>
    <t>WhatsApp inbound</t>
  </si>
  <si>
    <t>Camila Dias</t>
  </si>
  <si>
    <t>(11) 91111-8008</t>
  </si>
  <si>
    <t>camila.d@email.com</t>
  </si>
  <si>
    <t>Experimental 18h</t>
  </si>
  <si>
    <t>Bruno Carvalho</t>
  </si>
  <si>
    <t>(11) 90000-9009</t>
  </si>
  <si>
    <t>bruno.c@email.com</t>
  </si>
  <si>
    <t>Retorno marcado</t>
  </si>
  <si>
    <t>Retorno</t>
  </si>
  <si>
    <t>Larissa Nunes</t>
  </si>
  <si>
    <t>(11) 98989-1010</t>
  </si>
  <si>
    <t>lari.n@email.com</t>
  </si>
  <si>
    <t>Interessada em personal</t>
  </si>
  <si>
    <t>LeadID</t>
  </si>
  <si>
    <t>Cadastro</t>
  </si>
  <si>
    <t>Lead cadastrado via Instagram</t>
  </si>
  <si>
    <t>10:15</t>
  </si>
  <si>
    <t>Lead por indicação</t>
  </si>
  <si>
    <t>14:00</t>
  </si>
  <si>
    <t>Ligação</t>
  </si>
  <si>
    <t>Ligação realizada — interessada</t>
  </si>
  <si>
    <t>11:00</t>
  </si>
  <si>
    <t>Lead via Google Ads</t>
  </si>
  <si>
    <t>16:30</t>
  </si>
  <si>
    <t>Agendamento</t>
  </si>
  <si>
    <t>Aula experimental agendada</t>
  </si>
  <si>
    <t>08:40</t>
  </si>
  <si>
    <t>Lead Instagram</t>
  </si>
  <si>
    <t>15:00</t>
  </si>
  <si>
    <t>Compareceu à experimental</t>
  </si>
  <si>
    <t>17:00</t>
  </si>
  <si>
    <t>Convertido em aluno</t>
  </si>
  <si>
    <t>09:20</t>
  </si>
  <si>
    <t>Lead Facebook</t>
  </si>
  <si>
    <t>Solicitou proposta Premium</t>
  </si>
  <si>
    <t>ATH-2025-000088</t>
  </si>
  <si>
    <t>Paulo Vieira</t>
  </si>
  <si>
    <t>Em risco</t>
  </si>
  <si>
    <t>ATH-2025-000092</t>
  </si>
  <si>
    <t>Fernanda Lopes</t>
  </si>
  <si>
    <t>Falta de tempo</t>
  </si>
  <si>
    <t>Acompanhamento</t>
  </si>
  <si>
    <t>ATH-2025-000101</t>
  </si>
  <si>
    <t>Diego Santos</t>
  </si>
  <si>
    <t>Desmotivação</t>
  </si>
  <si>
    <t>Data Início</t>
  </si>
  <si>
    <t>Data Fim</t>
  </si>
  <si>
    <t>Volte a Treinar</t>
  </si>
  <si>
    <t>Inativos 30+ dias</t>
  </si>
  <si>
    <t>12 retornos</t>
  </si>
  <si>
    <t>Black Friday</t>
  </si>
  <si>
    <t>Todos leads + alunos</t>
  </si>
  <si>
    <t>8 matrículas</t>
  </si>
  <si>
    <t>Plano Família</t>
  </si>
  <si>
    <t>5 matrículas</t>
  </si>
  <si>
    <t>Encerrada</t>
  </si>
  <si>
    <t>Indique um Amigo</t>
  </si>
  <si>
    <t>9 indicações</t>
  </si>
  <si>
    <t>Matrícula Aluno</t>
  </si>
  <si>
    <t>Indicado</t>
  </si>
  <si>
    <t>Telefone Indicado</t>
  </si>
  <si>
    <t>Bônus</t>
  </si>
  <si>
    <t>Pedro Henrique</t>
  </si>
  <si>
    <t>ATH-2025-000050</t>
  </si>
  <si>
    <t>Altura</t>
  </si>
  <si>
    <t>Gordura Corporal</t>
  </si>
  <si>
    <t>Emagrecimento</t>
  </si>
  <si>
    <t>Avaliacao inicial</t>
  </si>
  <si>
    <t>Reducao de gordura</t>
  </si>
  <si>
    <t>Hipertrofia</t>
  </si>
  <si>
    <t>ATH-2026-000003</t>
  </si>
  <si>
    <t>Saude</t>
  </si>
  <si>
    <t>Inicio protocolo</t>
  </si>
  <si>
    <t>ATH-2026-000004</t>
  </si>
  <si>
    <t>Personal 3x</t>
  </si>
  <si>
    <t>Primeira avaliacao</t>
  </si>
  <si>
    <t>AvaliacaoID</t>
  </si>
  <si>
    <t>Abdômen</t>
  </si>
  <si>
    <t>Bíceps Direito</t>
  </si>
  <si>
    <t>Bíceps Esquerdo</t>
  </si>
  <si>
    <t>Antebraço</t>
  </si>
  <si>
    <t>Divisão</t>
  </si>
  <si>
    <t>Versão</t>
  </si>
  <si>
    <t>Perder gordura</t>
  </si>
  <si>
    <t>ABC</t>
  </si>
  <si>
    <t>Manter evolucao</t>
  </si>
  <si>
    <t>Ganho de massa</t>
  </si>
  <si>
    <t>ABCD</t>
  </si>
  <si>
    <t>Performance</t>
  </si>
  <si>
    <t>ABCDE</t>
  </si>
  <si>
    <t>Grupo Muscular</t>
  </si>
  <si>
    <t>EX013</t>
  </si>
  <si>
    <t>Tríceps Pulley</t>
  </si>
  <si>
    <t>Tríceps</t>
  </si>
  <si>
    <t>EX014</t>
  </si>
  <si>
    <t>Tríceps Francês</t>
  </si>
  <si>
    <t>EX015</t>
  </si>
  <si>
    <t>Prancha</t>
  </si>
  <si>
    <t>Core</t>
  </si>
  <si>
    <t>Peso Corporal</t>
  </si>
  <si>
    <t>EX016</t>
  </si>
  <si>
    <t>Abdominal supra</t>
  </si>
  <si>
    <t>EX017</t>
  </si>
  <si>
    <t>Stiff</t>
  </si>
  <si>
    <t>Posterior</t>
  </si>
  <si>
    <t>EX018</t>
  </si>
  <si>
    <t>Panturrilha em pé</t>
  </si>
  <si>
    <t>Máquina</t>
  </si>
  <si>
    <t>EX019</t>
  </si>
  <si>
    <t>Flexão de Braço</t>
  </si>
  <si>
    <t>EX020</t>
  </si>
  <si>
    <t>Barra Fixa</t>
  </si>
  <si>
    <t>TreinoID</t>
  </si>
  <si>
    <t>ExercicioCodigo</t>
  </si>
  <si>
    <t>Repetições</t>
  </si>
  <si>
    <t>Ordem</t>
  </si>
  <si>
    <t>12</t>
  </si>
  <si>
    <t>10</t>
  </si>
  <si>
    <t>15</t>
  </si>
  <si>
    <t>8-10</t>
  </si>
  <si>
    <t>Carga progressiva</t>
  </si>
  <si>
    <t>max</t>
  </si>
  <si>
    <t>5</t>
  </si>
  <si>
    <t>Forca</t>
  </si>
  <si>
    <t>Frente</t>
  </si>
  <si>
    <t>Lado</t>
  </si>
  <si>
    <t>C:\ATHENAS\Fotos\ATH2026001\2026-01-10_Frente.jpg</t>
  </si>
  <si>
    <t>C:\ATHENAS\Fotos\ATH2026001\2026-01-10_Lado.jpg</t>
  </si>
  <si>
    <t>C:\ATHENAS\Fotos\ATH2026001\2026-01-10_Costas.jpg</t>
  </si>
  <si>
    <t>C:\ATHENAS\Fotos\ATH2026001\2026-04-10_Frente.jpg</t>
  </si>
  <si>
    <t>C:\ATHENAS\Fotos\ATH2026001\2026-04-10_Lado.jpg</t>
  </si>
  <si>
    <t>C:\ATHENAS\Fotos\ATH2026001\2026-04-10_Costas.jpg</t>
  </si>
  <si>
    <t>Tempo Permanência</t>
  </si>
  <si>
    <t>07:58</t>
  </si>
  <si>
    <t>09:24</t>
  </si>
  <si>
    <t>01:26</t>
  </si>
  <si>
    <t>Liberado</t>
  </si>
  <si>
    <t>18:05</t>
  </si>
  <si>
    <t>08:10</t>
  </si>
  <si>
    <t>09:05</t>
  </si>
  <si>
    <t>00:55</t>
  </si>
  <si>
    <t>QR Code</t>
  </si>
  <si>
    <t>01:15</t>
  </si>
  <si>
    <t>20:10</t>
  </si>
  <si>
    <t>01:10</t>
  </si>
  <si>
    <t>Presente</t>
  </si>
  <si>
    <t>Aula</t>
  </si>
  <si>
    <t>Sim</t>
  </si>
  <si>
    <t>Unidade Centro</t>
  </si>
  <si>
    <t>12.345.678/0001-90</t>
  </si>
  <si>
    <t>(11) 3000-0001</t>
  </si>
  <si>
    <t>(11) 99000-0001</t>
  </si>
  <si>
    <t>matriz@athenas.gym</t>
  </si>
  <si>
    <t>Av. Paulista, 1000</t>
  </si>
  <si>
    <t>ATHENAS GYM Zona Sul</t>
  </si>
  <si>
    <t>ZS</t>
  </si>
  <si>
    <t>12.345.678/0002-71</t>
  </si>
  <si>
    <t>(11) 3000-0002</t>
  </si>
  <si>
    <t>(11) 99000-0002</t>
  </si>
  <si>
    <t>zonasul@athenas.gym</t>
  </si>
  <si>
    <t>04038-001</t>
  </si>
  <si>
    <t>Av. Ibirapuera, 500</t>
  </si>
  <si>
    <t>ATHENAS Campinas Centro</t>
  </si>
  <si>
    <t>CP</t>
  </si>
  <si>
    <t>23.456.789/0001-01</t>
  </si>
  <si>
    <t>(19) 3000-2001</t>
  </si>
  <si>
    <t>(19) 99000-2001</t>
  </si>
  <si>
    <t>campinas@athenas.gym</t>
  </si>
  <si>
    <t>13010-100</t>
  </si>
  <si>
    <t>Av. Norte-Sul, 500</t>
  </si>
  <si>
    <t>Campinas</t>
  </si>
  <si>
    <t>Marcos Silva</t>
  </si>
  <si>
    <t>ATHENAS Santos Gonzaga</t>
  </si>
  <si>
    <t>ST</t>
  </si>
  <si>
    <t>34.567.890/0001-12</t>
  </si>
  <si>
    <t>(13) 3000-3001</t>
  </si>
  <si>
    <t>(13) 99000-3001</t>
  </si>
  <si>
    <t>santos@athenas.gym</t>
  </si>
  <si>
    <t>11010-100</t>
  </si>
  <si>
    <t>Av. Ana Costa, 200</t>
  </si>
  <si>
    <t>Santos</t>
  </si>
  <si>
    <t>Patricia Reis</t>
  </si>
  <si>
    <t>HorarioAbertura</t>
  </si>
  <si>
    <t>06:00</t>
  </si>
  <si>
    <t>HorarioFechamento</t>
  </si>
  <si>
    <t>23:00</t>
  </si>
  <si>
    <t>CorDashboard</t>
  </si>
  <si>
    <t>Vermelho</t>
  </si>
  <si>
    <t>22:00</t>
  </si>
  <si>
    <t>Azul</t>
  </si>
  <si>
    <t>ProfessorID</t>
  </si>
  <si>
    <t>Roberto Lima</t>
  </si>
  <si>
    <t>OrigemID</t>
  </si>
  <si>
    <t>DestinoID</t>
  </si>
  <si>
    <t>PRD-001</t>
  </si>
  <si>
    <t>Concluída</t>
  </si>
  <si>
    <t>Seed demo</t>
  </si>
  <si>
    <t>UsuarioID</t>
  </si>
  <si>
    <t>Código de Barras</t>
  </si>
  <si>
    <t>Marca</t>
  </si>
  <si>
    <t>Unidade Medida</t>
  </si>
  <si>
    <t>Custo</t>
  </si>
  <si>
    <t>Estoque Atual</t>
  </si>
  <si>
    <t>Estoque Máximo</t>
  </si>
  <si>
    <t>Localização</t>
  </si>
  <si>
    <t>Classe ABC</t>
  </si>
  <si>
    <t>7891000100011</t>
  </si>
  <si>
    <t>AthMax</t>
  </si>
  <si>
    <t>UN</t>
  </si>
  <si>
    <t>Prateleira A1</t>
  </si>
  <si>
    <t>PRD-002</t>
  </si>
  <si>
    <t>7891000100028</t>
  </si>
  <si>
    <t>Prateleira A2</t>
  </si>
  <si>
    <t>PRD-003</t>
  </si>
  <si>
    <t>7891000100035</t>
  </si>
  <si>
    <t>Barras de Proteína</t>
  </si>
  <si>
    <t>FitBar</t>
  </si>
  <si>
    <t>PRD-004</t>
  </si>
  <si>
    <t>7891000100042</t>
  </si>
  <si>
    <t>Roupas</t>
  </si>
  <si>
    <t>Athenas</t>
  </si>
  <si>
    <t>Vitrine</t>
  </si>
  <si>
    <t>PRD-005</t>
  </si>
  <si>
    <t>7891000100059</t>
  </si>
  <si>
    <t>Garrafas</t>
  </si>
  <si>
    <t>Hydra</t>
  </si>
  <si>
    <t>PRD-006</t>
  </si>
  <si>
    <t>7891000100066</t>
  </si>
  <si>
    <t>Luvas</t>
  </si>
  <si>
    <t>GripPro</t>
  </si>
  <si>
    <t>PAR</t>
  </si>
  <si>
    <t>PRD-007</t>
  </si>
  <si>
    <t>7891000100073</t>
  </si>
  <si>
    <t>Pré-Treino 300g</t>
  </si>
  <si>
    <t>Prateleira A3</t>
  </si>
  <si>
    <t>PRD-008</t>
  </si>
  <si>
    <t>7891000100080</t>
  </si>
  <si>
    <t>Coqueteleira</t>
  </si>
  <si>
    <t>Coqueteleiras</t>
  </si>
  <si>
    <t>ShakeIt</t>
  </si>
  <si>
    <t>PRD-009</t>
  </si>
  <si>
    <t>7891000100097</t>
  </si>
  <si>
    <t>Água 500ml</t>
  </si>
  <si>
    <t>Bebidas</t>
  </si>
  <si>
    <t>Crystal</t>
  </si>
  <si>
    <t>Geladeira</t>
  </si>
  <si>
    <t>PRD-010</t>
  </si>
  <si>
    <t>7891000100103</t>
  </si>
  <si>
    <t>Vitamina D</t>
  </si>
  <si>
    <t>Vitaminas</t>
  </si>
  <si>
    <t>VitaPlus</t>
  </si>
  <si>
    <t>Prateleira B1</t>
  </si>
  <si>
    <t>E-mail</t>
  </si>
  <si>
    <t>Condição de Pagamento</t>
  </si>
  <si>
    <t>FOR-001</t>
  </si>
  <si>
    <t>Nutri Distribuidora LTDA</t>
  </si>
  <si>
    <t>Marcos</t>
  </si>
  <si>
    <t>(11) 3333-1001</t>
  </si>
  <si>
    <t>compras@nutri.com</t>
  </si>
  <si>
    <t>FOR-002</t>
  </si>
  <si>
    <t>Fit Wear Confecções</t>
  </si>
  <si>
    <t>98.765.432/0001-10</t>
  </si>
  <si>
    <t>Lucia</t>
  </si>
  <si>
    <t>(11) 3333-2002</t>
  </si>
  <si>
    <t>vendas@fitwear.com</t>
  </si>
  <si>
    <t>Guarulhos</t>
  </si>
  <si>
    <t>À vista</t>
  </si>
  <si>
    <t>Compra</t>
  </si>
  <si>
    <t>CMP-001</t>
  </si>
  <si>
    <t>Admin</t>
  </si>
  <si>
    <t>Compra CMP-001</t>
  </si>
  <si>
    <t>Venda</t>
  </si>
  <si>
    <t>PDV</t>
  </si>
  <si>
    <t>Lote</t>
  </si>
  <si>
    <t>Fabricação</t>
  </si>
  <si>
    <t>Validade</t>
  </si>
  <si>
    <t>Lote-W25</t>
  </si>
  <si>
    <t>OK</t>
  </si>
  <si>
    <t>Lote-C25</t>
  </si>
  <si>
    <t>Vencendo</t>
  </si>
  <si>
    <t>Lote-VD</t>
  </si>
  <si>
    <t>Itens</t>
  </si>
  <si>
    <t>Na Mensalidade</t>
  </si>
  <si>
    <t>Finalizada</t>
  </si>
  <si>
    <t>Venda ID</t>
  </si>
  <si>
    <t>Kit</t>
  </si>
  <si>
    <t>KIT-001</t>
  </si>
  <si>
    <t>Kit Hipertrofia</t>
  </si>
  <si>
    <t>Kit Código</t>
  </si>
  <si>
    <t>Produto Código</t>
  </si>
  <si>
    <t>Valor Atual</t>
  </si>
  <si>
    <t>Última Atualização</t>
  </si>
  <si>
    <t>▲</t>
  </si>
  <si>
    <t>▼</t>
  </si>
  <si>
    <t>Frequência</t>
  </si>
  <si>
    <t>Estoque Saúde</t>
  </si>
  <si>
    <t>Acompanhe a evolução da receita no painel executivo.</t>
  </si>
  <si>
    <t>📊</t>
  </si>
  <si>
    <t>Operação</t>
  </si>
  <si>
    <t>Horário de pico e frequência alimentam planejamento de equipe.</t>
  </si>
  <si>
    <t>Produtos abaixo do mínimo geram alerta de reposição automática.</t>
  </si>
  <si>
    <t>📦</t>
  </si>
  <si>
    <t>Horizonte</t>
  </si>
  <si>
    <t>Base</t>
  </si>
  <si>
    <t>Atualizado</t>
  </si>
  <si>
    <t>Mês atual</t>
  </si>
  <si>
    <t>Série 6 meses</t>
  </si>
  <si>
    <t>Próximo mês</t>
  </si>
  <si>
    <t>Tendência linear</t>
  </si>
  <si>
    <t>Saldo fluxo</t>
  </si>
  <si>
    <t>Receber - Pagar</t>
  </si>
  <si>
    <t>Classificação</t>
  </si>
  <si>
    <t>Plano vence</t>
  </si>
  <si>
    <t>🟡 Médio risco</t>
  </si>
  <si>
    <t>Em dia</t>
  </si>
  <si>
    <t>Oferecer avaliação / treino</t>
  </si>
  <si>
    <t>De</t>
  </si>
  <si>
    <t>Para</t>
  </si>
  <si>
    <t>Aumente a carga do supino nesta semana.</t>
  </si>
  <si>
    <t>Ok, combinado!</t>
  </si>
  <si>
    <t>10:22</t>
  </si>
  <si>
    <t>Nova ficha ABCD disponível no app.</t>
  </si>
  <si>
    <t>dias treino/mês</t>
  </si>
  <si>
    <t>kg</t>
  </si>
  <si>
    <t>Expira</t>
  </si>
  <si>
    <t>Dispositivo</t>
  </si>
  <si>
    <t>App</t>
  </si>
  <si>
    <t>demo-token-prof-001</t>
  </si>
  <si>
    <t>Web</t>
  </si>
  <si>
    <t>Desafio</t>
  </si>
  <si>
    <t>Conquista</t>
  </si>
  <si>
    <t>Treinar 20 dias</t>
  </si>
  <si>
    <t>30 dias seguidos</t>
  </si>
  <si>
    <t>100 treinos</t>
  </si>
  <si>
    <t>🏅 Primeiro mês</t>
  </si>
  <si>
    <t>Sua mensalidade vence amanhã.</t>
  </si>
  <si>
    <t>Você tem treino hoje — Treino A.</t>
  </si>
  <si>
    <t>Nova avaliação disponível.</t>
  </si>
  <si>
    <t>Cobrança</t>
  </si>
  <si>
    <t>Cobrar 5 alunos com mensalidade em atraso</t>
  </si>
  <si>
    <t>Comprar Creatina (giro alto / estoque baixo)</t>
  </si>
  <si>
    <t>Atualizar 8 treinos com mais de 45 dias</t>
  </si>
  <si>
    <t>Retenção</t>
  </si>
  <si>
    <t>Campanha de retenção para alunos em alto risco</t>
  </si>
  <si>
    <t>Marcar 12 reavaliações físicas</t>
  </si>
  <si>
    <t>Resposta</t>
  </si>
  <si>
    <t>Receita do mês em análise. Use Perguntar na tela ATHENA AI para atualizar.</t>
  </si>
  <si>
    <t>Inscrição Estadual</t>
  </si>
  <si>
    <t>Complemento</t>
  </si>
  <si>
    <t>País</t>
  </si>
  <si>
    <t>Logo</t>
  </si>
  <si>
    <t>Cor Primária</t>
  </si>
  <si>
    <t>Cor Secundária</t>
  </si>
  <si>
    <t>Data Expiração</t>
  </si>
  <si>
    <t>ATHENAS PLATFORM LTDA</t>
  </si>
  <si>
    <t>ATHENAS PLATFORM</t>
  </si>
  <si>
    <t>00.000.000/0001-00</t>
  </si>
  <si>
    <t>platform@athenas.gym</t>
  </si>
  <si>
    <t>https://athenas.gym</t>
  </si>
  <si>
    <t>Brasil</t>
  </si>
  <si>
    <t>#A3001B</t>
  </si>
  <si>
    <t>Enterprise</t>
  </si>
  <si>
    <t>ATHENAS GYM ACADEMIA LTDA</t>
  </si>
  <si>
    <t>ISENTO</t>
  </si>
  <si>
    <t>(11) 3000-0000</t>
  </si>
  <si>
    <t>(11) 99000-0000</t>
  </si>
  <si>
    <t>contato@athenas.gym</t>
  </si>
  <si>
    <t>Sala 10</t>
  </si>
  <si>
    <t>ATHENAS GYM CAMPINAS LTDA</t>
  </si>
  <si>
    <t>ATHENAS Campinas</t>
  </si>
  <si>
    <t>(19) 3000-2000</t>
  </si>
  <si>
    <t>(19) 99000-2000</t>
  </si>
  <si>
    <t>Av. Norte-Sul</t>
  </si>
  <si>
    <t>500</t>
  </si>
  <si>
    <t>Centro</t>
  </si>
  <si>
    <t>ATHENAS GYM SANTOS LTDA</t>
  </si>
  <si>
    <t>ATHENAS Santos</t>
  </si>
  <si>
    <t>(13) 3000-3000</t>
  </si>
  <si>
    <t>(13) 99000-3000</t>
  </si>
  <si>
    <t>Av. Ana Costa</t>
  </si>
  <si>
    <t>200</t>
  </si>
  <si>
    <t>Gonzaga</t>
  </si>
  <si>
    <t>Ativação</t>
  </si>
  <si>
    <t>ATH-ENT-1-DEMO-2026</t>
  </si>
  <si>
    <t>ATH-ENT-2-CAMP-2026</t>
  </si>
  <si>
    <t>ATH-ENT-3-SANT-2026</t>
  </si>
  <si>
    <t>CorSistema</t>
  </si>
  <si>
    <t>BRL</t>
  </si>
  <si>
    <t>TimeZone</t>
  </si>
  <si>
    <t>America/Sao_Paulo</t>
  </si>
  <si>
    <t>CEO</t>
  </si>
  <si>
    <t>00.111.222/0001-33</t>
  </si>
  <si>
    <t>ATHENAS FRANCHISE HOLDING LTDA</t>
  </si>
  <si>
    <t>Renan Athenas</t>
  </si>
  <si>
    <t>franchise@athenas.gym</t>
  </si>
  <si>
    <t>(11) 3000-0100</t>
  </si>
  <si>
    <t>https://franchise.athenas.gym</t>
  </si>
  <si>
    <t>Franquia São Paulo</t>
  </si>
  <si>
    <t>CTR-SP-001</t>
  </si>
  <si>
    <t>Franquia Campinas</t>
  </si>
  <si>
    <t>CTR-CP-002</t>
  </si>
  <si>
    <t>Franquia Santos</t>
  </si>
  <si>
    <t>CTR-ST-003</t>
  </si>
  <si>
    <t>Vigência Início</t>
  </si>
  <si>
    <t>Vigência Fim</t>
  </si>
  <si>
    <t>Taxa Inicial</t>
  </si>
  <si>
    <t>Royalty %</t>
  </si>
  <si>
    <t>Fundo Marketing %</t>
  </si>
  <si>
    <t>RoyaltyID</t>
  </si>
  <si>
    <t>Receita Base</t>
  </si>
  <si>
    <t>Percentual</t>
  </si>
  <si>
    <t>Valor Royalty</t>
  </si>
  <si>
    <t>PercentualMarketing</t>
  </si>
  <si>
    <t>ValorMarketing</t>
  </si>
  <si>
    <t>Em Aberto</t>
  </si>
  <si>
    <t>FILTROS BI</t>
  </si>
  <si>
    <t>KPIs EXECUTIVOS</t>
  </si>
  <si>
    <t>ReceitaHoje</t>
  </si>
  <si>
    <t>Inadimplencia</t>
  </si>
  <si>
    <t>ReceitaMes</t>
  </si>
  <si>
    <t>(Todos)</t>
  </si>
  <si>
    <t>MetaReceita</t>
  </si>
  <si>
    <t>AlunosAtivos</t>
  </si>
  <si>
    <t>NovosAlunos</t>
  </si>
  <si>
    <t>TicketMedio</t>
  </si>
  <si>
    <t>RANKING PLANOS</t>
  </si>
  <si>
    <t>RANKING PROFESSORES</t>
  </si>
  <si>
    <t>ALERTAS ATIVOS</t>
  </si>
  <si>
    <t>ReceitaPrevista</t>
  </si>
  <si>
    <t>ReceitaRecebida</t>
  </si>
  <si>
    <t>ReceitaAtraso</t>
  </si>
  <si>
    <t>ContasReceber</t>
  </si>
  <si>
    <t>ContasPagar</t>
  </si>
  <si>
    <t>Congelamentos</t>
  </si>
  <si>
    <t>Renovacoes</t>
  </si>
  <si>
    <t>Matriculas</t>
  </si>
  <si>
    <t>Conversao</t>
  </si>
  <si>
    <t>QtdProfessores</t>
  </si>
  <si>
    <t>AvaliacoesMes</t>
  </si>
  <si>
    <t>SÉRIE MENSAL</t>
  </si>
  <si>
    <t>EstoqueBaixo</t>
  </si>
  <si>
    <t>CRM_Leads</t>
  </si>
  <si>
    <t>CRM_Conversao</t>
  </si>
  <si>
    <t>CRM_Risco</t>
  </si>
  <si>
    <t>Acesso_Hoje</t>
  </si>
  <si>
    <t>Acesso_Ausentes</t>
  </si>
  <si>
    <t>FrequenciaPct</t>
  </si>
  <si>
    <t>EstoqueSaudePct</t>
  </si>
  <si>
    <t>PrevisaoReceita</t>
  </si>
  <si>
    <t>PrevisaoCaixa30</t>
  </si>
  <si>
    <t>Alterações</t>
  </si>
  <si>
    <t>2.0.0</t>
  </si>
  <si>
    <t>Sprint 3.1–3.4 — Login, alunos, arquitetura MVC</t>
  </si>
  <si>
    <t>2.0.1</t>
  </si>
  <si>
    <t>Sprint 3.5 — Motor de configuração (BD_PARAMETROS e mestras)</t>
  </si>
  <si>
    <t>2.1.0</t>
  </si>
  <si>
    <t>Sprint 4.0 — Motor financeiro + livro-razão BD_LANCAMENTOS</t>
  </si>
  <si>
    <t>2.2.0</t>
  </si>
  <si>
    <t>Sprint 5.0 — Dashboard Executivo 360° + BI + alertas + metas</t>
  </si>
  <si>
    <t>2.2.1</t>
  </si>
  <si>
    <t>Sprint 5.1 — Agenda Inteligente / Central Operacional</t>
  </si>
  <si>
    <t>2.2.2</t>
  </si>
  <si>
    <t>Sprint 5.1.1 — Operation Center / Painel de Ações do Dia</t>
  </si>
  <si>
    <t>2.3.0</t>
  </si>
  <si>
    <t>Sprint 6.0 — CRM Inteligente (leads, funil, retenção, campanhas)</t>
  </si>
  <si>
    <t>2.4.0</t>
  </si>
  <si>
    <t>Sprint 7.0 — Treinos + Avaliação Física</t>
  </si>
  <si>
    <t>2.5.0</t>
  </si>
  <si>
    <t>Sprint 8.0 — Controle de Acesso, Presença e Frequência</t>
  </si>
  <si>
    <t>2.6.0</t>
  </si>
  <si>
    <t>Sprint 9.0 — PDV Inteligente + Gestão de Estoque</t>
  </si>
  <si>
    <t>2.7.0</t>
  </si>
  <si>
    <t>Sprint 10.0 — Business Intelligence + Inteligência Analítica</t>
  </si>
  <si>
    <t>2.8.0</t>
  </si>
  <si>
    <t>Sprint 11.0 — Portal do Aluno + API Cloud + App Mobile</t>
  </si>
  <si>
    <t>2.9.0</t>
  </si>
  <si>
    <t>Sprint 12.0 — ATHENA AI + Automação + Central de Recomendações</t>
  </si>
  <si>
    <t>3.0.0</t>
  </si>
  <si>
    <t>Épico 1 — Multi-Tenant SaaS (EmpresaID, licenças, Master)</t>
  </si>
  <si>
    <t>Épico 3 A+B — Franquias, contratos, royalties e portal franqueadora</t>
  </si>
  <si>
    <t>4.1.0</t>
  </si>
  <si>
    <t>Épico 2 C/D — Transferências, professores multiunidade, KPIs e permissões</t>
  </si>
  <si>
    <t>4.0.0</t>
  </si>
  <si>
    <t>Épico 2 — Multiunidade (UnidadeID, filiais, ATH-CODIGO)</t>
  </si>
  <si>
    <t>Registro</t>
  </si>
  <si>
    <t>Computador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</si>
</sst>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\R\$\ #,##0.00"/>
    <numFmt numFmtId="165" formatCode="yyyy\-mm\-dd"/>
    <numFmt numFmtId="166" formatCode="0.0"/>
    <numFmt numFmtId="167" formatCode="0.0&quot;%&quot;"/>
    <numFmt numFmtId="168" formatCode="0.0%"/>
    <numFmt numFmtId="169" formatCode="&quot;R$&quot;\ #,##0.00"/>
  </numFmts>
  <fonts count="39">
    <font>
      <sz val="11"/>
      <color theme="1"/>
      <name val="Calibri"/>
      <family val="2"/>
      <scheme val="minor"/>
    </font>
    <font>
      <b/>
      <sz val="26"/>
      <color rgb="FFD4AF37"/>
      <name val="Georgia"/>
    </font>
    <font>
      <sz val="11"/>
      <color rgb="FFFFFFFF"/>
      <name val="Calibri"/>
    </font>
    <font>
      <sz val="11"/>
      <color rgb="FF2B2B2B"/>
      <name val="Calibri"/>
    </font>
    <font>
      <b/>
      <sz val="14"/>
      <color rgb="FFD4AF37"/>
      <name val="Georgia"/>
    </font>
    <font>
      <b/>
      <sz val="11"/>
      <color rgb="FF1B1B1B"/>
      <name val="Calibri"/>
    </font>
    <font>
      <b/>
      <sz val="16"/>
      <color rgb="FFD4AF37"/>
      <name val="Georgia"/>
    </font>
    <font>
      <sz val="9"/>
      <color rgb="FFA3001E"/>
      <name val="Calibri"/>
    </font>
    <font>
      <sz val="9"/>
      <color rgb="FF666666"/>
      <name val="Calibri"/>
    </font>
    <font>
      <b/>
      <sz val="11"/>
      <color rgb="FFA3001E"/>
      <name val="Calibri"/>
    </font>
    <font>
      <b/>
      <sz val="10"/>
      <color rgb="FFA3001E"/>
      <name val="Calibri"/>
    </font>
    <font>
      <i/>
      <sz val="10"/>
      <color rgb="FF555555"/>
      <name val="Calibri"/>
    </font>
    <font>
      <i/>
      <sz val="10"/>
      <name val="Calibri"/>
    </font>
    <font>
      <b/>
      <sz val="11"/>
      <color rgb="FFD4AF37"/>
      <name val="Georgia"/>
    </font>
    <font>
      <sz val="8"/>
      <color rgb="FFE8C96A"/>
      <name val="Calibri"/>
    </font>
    <font>
      <b/>
      <sz val="20"/>
      <color rgb="FFD4AF37"/>
      <name val="Georgia"/>
    </font>
    <font>
      <b/>
      <sz val="11"/>
      <color rgb="FFD4AF37"/>
      <name val="Calibri"/>
    </font>
    <font>
      <sz val="10"/>
      <color rgb="FFFFFFFF"/>
      <name val="Calibri"/>
    </font>
    <font>
      <b/>
      <sz val="9"/>
      <color rgb="FFD4AF37"/>
      <name val="Calibri"/>
    </font>
    <font>
      <b/>
      <sz val="18"/>
      <color rgb="FFA3001E"/>
      <name val="Georgia"/>
    </font>
    <font>
      <b/>
      <sz val="10"/>
      <color rgb="FF6B6B6B"/>
      <name val="Calibri"/>
    </font>
    <font>
      <b/>
      <sz val="28"/>
      <color rgb="FFA3001E"/>
      <name val="Georgia"/>
    </font>
    <font>
      <sz val="1"/>
      <color rgb="FFF3F3F3"/>
      <name val="Calibri"/>
    </font>
    <font>
      <b/>
      <sz val="14"/>
      <color rgb="FFA3001E"/>
      <name val="Georgia"/>
    </font>
    <font>
      <b/>
      <sz val="11"/>
      <name val="Calibri"/>
    </font>
    <font>
      <sz val="10"/>
      <color rgb="FF666666"/>
      <name val="Calibri"/>
    </font>
    <font>
      <b/>
      <sz val="16"/>
      <color rgb="FFA3001E"/>
      <name val="Georgia"/>
    </font>
    <font>
      <b/>
      <sz val="12"/>
      <color rgb="FFA3001E"/>
      <name val="Georgia"/>
    </font>
    <font>
      <b/>
      <sz val="11"/>
      <color rgb="FFA3001E"/>
      <name val="Georgia"/>
    </font>
    <font>
      <sz val="11"/>
      <name val="Calibri"/>
    </font>
    <font>
      <i/>
      <sz val="11"/>
      <color rgb="FF555555"/>
      <name val="Calibri"/>
    </font>
    <font>
      <sz val="12"/>
      <color rgb="FFA3001E"/>
      <name val="Georgia"/>
    </font>
    <font>
      <b/>
      <sz val="20"/>
      <color rgb="FFA3001E"/>
      <name val="Georgia"/>
    </font>
    <font>
      <b/>
      <sz val="11"/>
      <color rgb="FF1B7A3D"/>
      <name val="Calibri"/>
    </font>
    <font>
      <b/>
      <sz val="9"/>
      <color rgb="FFA3001E"/>
      <name val="Calibri"/>
    </font>
    <font>
      <b/>
      <sz val="28"/>
      <color rgb="FFD4AF37"/>
      <name val="Georgia"/>
    </font>
    <font>
      <sz val="12"/>
      <color rgb="FFFFFFFF"/>
      <name val="Calibri"/>
    </font>
    <font>
      <sz val="9"/>
      <color rgb="FFFFFFFF"/>
      <name val="Calibri"/>
    </font>
    <font>
      <sz val="9"/>
      <color rgb="FFD4AF37"/>
      <name val="Calibri"/>
    </font>
  </fonts>
  <fills count="13">
    <fill>
      <patternFill patternType="none"/>
    </fill>
    <fill>
      <patternFill patternType="gray125"/>
    </fill>
    <fill>
      <patternFill patternType="solid">
        <fgColor rgb="FFA3001E"/>
      </patternFill>
    </fill>
    <fill>
      <patternFill patternType="solid">
        <fgColor rgb="FF7A0016"/>
      </patternFill>
    </fill>
    <fill>
      <patternFill patternType="solid">
        <fgColor rgb="FFD4AF37"/>
      </patternFill>
    </fill>
    <fill>
      <patternFill patternType="solid">
        <fgColor rgb="FFFFF8E7"/>
      </patternFill>
    </fill>
    <fill>
      <patternFill patternType="solid">
        <fgColor rgb="FFFFF9C4"/>
      </patternFill>
    </fill>
    <fill>
      <patternFill patternType="solid">
        <fgColor rgb="FFFFFFFF"/>
      </patternFill>
    </fill>
    <fill>
      <patternFill patternType="solid">
        <fgColor rgb="FFFFCDD2"/>
      </patternFill>
    </fill>
    <fill>
      <patternFill patternType="solid">
        <fgColor rgb="FFF3F3F3"/>
      </patternFill>
    </fill>
    <fill>
      <patternFill patternType="solid">
        <fgColor rgb="FF4A000F"/>
      </patternFill>
    </fill>
    <fill>
      <patternFill patternType="solid">
        <fgColor rgb="FFB3122A"/>
      </patternFill>
    </fill>
    <fill>
      <patternFill patternType="solid">
        <fgColor rgb="FF5C0010"/>
      </patternFill>
    </fill>
  </fills>
  <borders count="16">
    <border>
      <left/>
      <right/>
      <top/>
      <bottom/>
      <diagonal/>
    </border>
    <border>
      <left/>
      <right/>
      <top/>
      <bottom style="medium">
        <color rgb="FFD4AF37"/>
      </bottom>
      <diagonal/>
    </border>
    <border>
      <left style="thin">
        <color rgb="FFE6E6E6"/>
      </left>
      <right style="thin">
        <color rgb="FFE6E6E6"/>
      </right>
      <top style="thin">
        <color rgb="FFE6E6E6"/>
      </top>
      <bottom style="thin">
        <color rgb="FFE6E6E6"/>
      </bottom>
      <diagonal/>
    </border>
    <border>
      <left/>
      <right/>
      <top/>
      <bottom/>
      <diagonal/>
    </border>
    <border>
      <left style="thin">
        <color rgb="FFEDEDED"/>
      </left>
      <right style="thin">
        <color rgb="FFEDEDED"/>
      </right>
      <top style="medium">
        <color rgb="FFD4AF37"/>
      </top>
      <bottom style="thin">
        <color rgb="FFEDEDED"/>
      </bottom>
      <diagonal/>
    </border>
    <border>
      <left/>
      <right/>
      <top style="thin">
        <color rgb="FFE6E6E6"/>
      </top>
      <bottom style="thin">
        <color rgb="FFE6E6E6"/>
      </bottom>
      <diagonal/>
    </border>
    <border>
      <left/>
      <right style="thin">
        <color rgb="FFE6E6E6"/>
      </right>
      <top style="thin">
        <color rgb="FFE6E6E6"/>
      </top>
      <bottom style="thin">
        <color rgb="FFE6E6E6"/>
      </bottom>
      <diagonal/>
    </border>
    <border>
      <left style="medium">
        <color rgb="FFD4AF37"/>
      </left>
      <right style="medium">
        <color rgb="FFD4AF37"/>
      </right>
      <top style="medium">
        <color rgb="FFD4AF37"/>
      </top>
      <bottom style="medium">
        <color rgb="FFD4AF37"/>
      </bottom>
      <diagonal/>
    </border>
    <border>
      <left/>
      <right style="thin">
        <color rgb="FFEDEDED"/>
      </right>
      <top style="medium">
        <color rgb="FFD4AF37"/>
      </top>
      <bottom/>
      <diagonal/>
    </border>
    <border>
      <left/>
      <right style="thin">
        <color rgb="FFEDEDED"/>
      </right>
      <top style="medium">
        <color rgb="FFD4AF37"/>
      </top>
      <bottom style="thin">
        <color rgb="FFEDEDED"/>
      </bottom>
      <diagonal/>
    </border>
    <border>
      <left style="thin">
        <color rgb="FFEDEDED"/>
      </left>
      <right/>
      <top/>
      <bottom style="thin">
        <color rgb="FFEDEDED"/>
      </bottom>
      <diagonal/>
    </border>
    <border>
      <left/>
      <right style="thin">
        <color rgb="FFEDEDED"/>
      </right>
      <top/>
      <bottom style="thin">
        <color rgb="FFEDEDED"/>
      </bottom>
      <diagonal/>
    </border>
    <border>
      <left/>
      <right/>
      <top style="medium">
        <color rgb="FFD4AF37"/>
      </top>
      <bottom style="thin">
        <color rgb="FFEDEDED"/>
      </bottom>
      <diagonal/>
    </border>
    <border>
      <left style="thin">
        <color rgb="FFE8E8E8"/>
      </left>
      <right style="thin">
        <color rgb="FFE8E8E8"/>
      </right>
      <top style="thin">
        <color rgb="FFE8E8E8"/>
      </top>
      <bottom style="thin">
        <color rgb="FFE8E8E8"/>
      </bottom>
      <diagonal/>
    </border>
    <border>
      <left/>
      <right/>
      <top style="thin">
        <color rgb="FFE8E8E8"/>
      </top>
      <bottom style="thin">
        <color rgb="FFE8E8E8"/>
      </bottom>
      <diagonal/>
    </border>
    <border>
      <left/>
      <right style="thin">
        <color rgb="FFE8E8E8"/>
      </right>
      <top style="thin">
        <color rgb="FFE8E8E8"/>
      </top>
      <bottom style="thin">
        <color rgb="FFE8E8E8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2" borderId="3" xfId="0" applyFill="1" applyBorder="1"/>
    <xf numFmtId="0" fontId="0" fillId="11" borderId="3" xfId="0" applyFill="1" applyBorder="1"/>
    <xf numFmtId="0" fontId="0" fillId="12" borderId="3" xfId="0" applyFill="1" applyBorder="1"/>
    <xf numFmtId="0" fontId="0" fillId="4" borderId="3" xfId="0" applyFill="1" applyBorder="1"/>
    <xf numFmtId="0" fontId="0" fillId="10" borderId="3" xfId="0" applyFill="1" applyBorder="1"/>
    <xf numFmtId="0" fontId="16" fillId="2" borderId="3" xfId="0" applyFont="1" applyFill="1" applyBorder="1" applyAlignment="1">
      <alignment horizontal="center" vertical="center" wrapText="1"/>
    </xf>
    <xf numFmtId="0" fontId="0" fillId="9" borderId="3" xfId="0" applyFill="1" applyBorder="1"/>
    <xf numFmtId="0" fontId="13" fillId="10" borderId="3" xfId="0" applyFont="1" applyFill="1" applyBorder="1" applyAlignment="1">
      <alignment horizontal="center" vertical="center" wrapText="1"/>
    </xf>
    <xf numFmtId="0" fontId="0" fillId="3" borderId="3" xfId="0" applyFill="1" applyBorder="1"/>
    <xf numFmtId="0" fontId="18" fillId="3" borderId="3" xfId="0" applyFont="1" applyFill="1" applyBorder="1" applyAlignment="1">
      <alignment horizontal="center" vertical="center" wrapText="1"/>
    </xf>
    <xf numFmtId="0" fontId="14" fillId="10" borderId="3" xfId="0" applyFont="1" applyFill="1" applyBorder="1" applyAlignment="1">
      <alignment horizontal="center" vertical="center" wrapText="1"/>
    </xf>
    <xf numFmtId="0" fontId="0" fillId="10" borderId="1" xfId="0" applyFill="1" applyBorder="1"/>
    <xf numFmtId="0" fontId="24" fillId="9" borderId="3" xfId="0" applyFont="1" applyFill="1" applyBorder="1"/>
    <xf numFmtId="0" fontId="25" fillId="9" borderId="3" xfId="0" applyFont="1" applyFill="1" applyBorder="1"/>
    <xf numFmtId="0" fontId="0" fillId="4" borderId="3" xfId="0" applyFill="1" applyBorder="1" applyAlignment="1">
      <alignment horizontal="left" vertical="center" wrapText="1"/>
    </xf>
    <xf numFmtId="0" fontId="26" fillId="9" borderId="3" xfId="0" applyFont="1" applyFill="1" applyBorder="1"/>
    <xf numFmtId="0" fontId="0" fillId="3" borderId="3" xfId="0" applyFill="1" applyBorder="1" applyAlignment="1">
      <alignment horizontal="left" vertical="center" wrapText="1"/>
    </xf>
    <xf numFmtId="0" fontId="5" fillId="4" borderId="3" xfId="0" applyFont="1" applyFill="1" applyBorder="1"/>
    <xf numFmtId="0" fontId="0" fillId="7" borderId="2" xfId="0" applyFill="1" applyBorder="1"/>
    <xf numFmtId="0" fontId="0" fillId="7" borderId="2" xfId="0" applyFill="1" applyBorder="1" applyAlignment="1">
      <alignment vertical="center" wrapText="1"/>
    </xf>
    <xf numFmtId="0" fontId="27" fillId="7" borderId="2" xfId="0" applyFont="1" applyFill="1" applyBorder="1"/>
    <xf numFmtId="0" fontId="8" fillId="7" borderId="3" xfId="0" applyFont="1" applyFill="1" applyBorder="1"/>
    <xf numFmtId="0" fontId="23" fillId="7" borderId="2" xfId="0" applyFont="1" applyFill="1" applyBorder="1"/>
    <xf numFmtId="0" fontId="8" fillId="9" borderId="3" xfId="0" applyFont="1" applyFill="1" applyBorder="1"/>
    <xf numFmtId="0" fontId="0" fillId="9" borderId="1" xfId="0" applyFill="1" applyBorder="1"/>
    <xf numFmtId="0" fontId="34" fillId="9" borderId="3" xfId="0" applyFont="1" applyFill="1" applyBorder="1"/>
    <xf numFmtId="0" fontId="5" fillId="4" borderId="4" xfId="0" applyFont="1" applyFill="1" applyBorder="1"/>
    <xf numFmtId="0" fontId="0" fillId="7" borderId="4" xfId="0" applyFill="1" applyBorder="1"/>
    <xf numFmtId="0" fontId="0" fillId="7" borderId="13" xfId="0" applyFill="1" applyBorder="1"/>
    <xf numFmtId="9" fontId="0" fillId="7" borderId="13" xfId="0" applyNumberFormat="1" applyFill="1" applyBorder="1"/>
    <xf numFmtId="164" fontId="0" fillId="7" borderId="13" xfId="0" applyNumberFormat="1" applyFill="1" applyBorder="1"/>
    <xf numFmtId="0" fontId="5" fillId="7" borderId="4" xfId="0" applyFont="1" applyFill="1" applyBorder="1"/>
    <xf numFmtId="0" fontId="5" fillId="4" borderId="0" xfId="0" applyFont="1" applyFill="1"/>
    <xf numFmtId="0" fontId="11" fillId="0" borderId="0" xfId="0" applyFont="1"/>
    <xf numFmtId="0" fontId="5" fillId="4" borderId="2" xfId="0" applyFont="1" applyFill="1" applyBorder="1" applyAlignment="1">
      <alignment horizontal="center" vertical="center" wrapText="1"/>
    </xf>
    <xf numFmtId="0" fontId="3" fillId="0" borderId="2" xfId="0" applyFont="1" applyBorder="1"/>
    <xf numFmtId="14" fontId="3" fillId="0" borderId="2" xfId="0" applyNumberFormat="1" applyFont="1" applyBorder="1"/>
    <xf numFmtId="164" fontId="3" fillId="0" borderId="2" xfId="0" applyNumberFormat="1" applyFont="1" applyBorder="1"/>
    <xf numFmtId="0" fontId="0" fillId="0" borderId="2" xfId="0" applyBorder="1"/>
    <xf numFmtId="0" fontId="5" fillId="0" borderId="0" xfId="0" applyFont="1"/>
    <xf numFmtId="164" fontId="0" fillId="6" borderId="0" xfId="0" applyNumberFormat="1" applyFill="1"/>
    <xf numFmtId="0" fontId="12" fillId="0" borderId="0" xfId="0" applyFont="1"/>
    <xf numFmtId="0" fontId="4" fillId="0" borderId="0" xfId="0" applyFont="1"/>
    <xf numFmtId="0" fontId="8" fillId="0" borderId="0" xfId="0" applyFont="1"/>
    <xf numFmtId="164" fontId="0" fillId="0" borderId="0" xfId="0" applyNumberFormat="1"/>
    <xf numFmtId="164" fontId="5" fillId="4" borderId="0" xfId="0" applyNumberFormat="1" applyFont="1" applyFill="1"/>
    <xf numFmtId="167" fontId="5" fillId="4" borderId="0" xfId="0" applyNumberFormat="1" applyFont="1" applyFill="1"/>
    <xf numFmtId="164" fontId="0" fillId="0" borderId="2" xfId="0" applyNumberFormat="1" applyBorder="1"/>
    <xf numFmtId="14" fontId="0" fillId="0" borderId="2" xfId="0" applyNumberFormat="1" applyBorder="1"/>
    <xf numFmtId="166" fontId="0" fillId="0" borderId="0" xfId="0" applyNumberFormat="1"/>
    <xf numFmtId="164" fontId="0" fillId="4" borderId="0" xfId="0" applyNumberFormat="1" applyFill="1"/>
    <xf numFmtId="0" fontId="4" fillId="2" borderId="0" xfId="0" applyFont="1" applyFill="1"/>
    <xf numFmtId="0" fontId="0" fillId="4" borderId="2" xfId="0" applyFill="1" applyBorder="1"/>
    <xf numFmtId="164" fontId="0" fillId="8" borderId="0" xfId="0" applyNumberFormat="1" applyFill="1"/>
    <xf numFmtId="2" fontId="0" fillId="0" borderId="2" xfId="0" applyNumberFormat="1" applyBorder="1"/>
    <xf numFmtId="0" fontId="0" fillId="4" borderId="0" xfId="0" applyFill="1"/>
    <xf numFmtId="14" fontId="0" fillId="0" borderId="0" xfId="0" applyNumberFormat="1"/>
    <xf numFmtId="0" fontId="22" fillId="4" borderId="3" xfId="0" applyFont="1" applyFill="1" applyBorder="1"/>
    <xf numFmtId="164" fontId="0" fillId="9" borderId="3" xfId="0" applyNumberFormat="1" applyFill="1" applyBorder="1"/>
    <xf numFmtId="164" fontId="0" fillId="3" borderId="3" xfId="0" applyNumberFormat="1" applyFill="1" applyBorder="1" applyAlignment="1">
      <alignment horizontal="left" vertical="center" wrapText="1"/>
    </xf>
    <xf numFmtId="164" fontId="0" fillId="7" borderId="2" xfId="0" applyNumberFormat="1" applyFill="1" applyBorder="1"/>
    <xf numFmtId="168" fontId="0" fillId="7" borderId="2" xfId="0" applyNumberFormat="1" applyFill="1" applyBorder="1"/>
    <xf numFmtId="0" fontId="5" fillId="4" borderId="3" xfId="0" applyFont="1" applyFill="1" applyBorder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0" fillId="7" borderId="3" xfId="0" applyFill="1" applyBorder="1"/>
    <xf numFmtId="0" fontId="5" fillId="7" borderId="2" xfId="0" applyFont="1" applyFill="1" applyBorder="1"/>
    <xf numFmtId="0" fontId="5" fillId="4" borderId="2" xfId="0" applyFont="1" applyFill="1" applyBorder="1"/>
    <xf numFmtId="0" fontId="23" fillId="9" borderId="3" xfId="0" applyFont="1" applyFill="1" applyBorder="1"/>
    <xf numFmtId="0" fontId="17" fillId="7" borderId="2" xfId="0" applyFont="1" applyFill="1" applyBorder="1"/>
    <xf numFmtId="0" fontId="0" fillId="9" borderId="2" xfId="0" applyFill="1" applyBorder="1"/>
    <xf numFmtId="0" fontId="3" fillId="0" borderId="0" xfId="0" applyFont="1"/>
    <xf numFmtId="0" fontId="6" fillId="2" borderId="0" xfId="0" applyFont="1" applyFill="1"/>
    <xf numFmtId="0" fontId="7" fillId="0" borderId="0" xfId="0" applyFont="1"/>
    <xf numFmtId="49" fontId="3" fillId="0" borderId="2" xfId="0" applyNumberFormat="1" applyFont="1" applyBorder="1"/>
    <xf numFmtId="49" fontId="0" fillId="0" borderId="0" xfId="0" applyNumberFormat="1"/>
    <xf numFmtId="0" fontId="8" fillId="0" borderId="2" xfId="0" applyFont="1" applyBorder="1"/>
    <xf numFmtId="166" fontId="0" fillId="0" borderId="2" xfId="0" applyNumberFormat="1" applyBorder="1"/>
    <xf numFmtId="49" fontId="0" fillId="0" borderId="2" xfId="0" applyNumberFormat="1" applyBorder="1"/>
    <xf numFmtId="9" fontId="0" fillId="0" borderId="2" xfId="0" applyNumberFormat="1" applyBorder="1"/>
    <xf numFmtId="165" fontId="0" fillId="0" borderId="2" xfId="0" applyNumberFormat="1" applyBorder="1"/>
    <xf numFmtId="0" fontId="9" fillId="0" borderId="0" xfId="0" applyFont="1"/>
    <xf numFmtId="14" fontId="0" fillId="5" borderId="2" xfId="0" applyNumberFormat="1" applyFill="1" applyBorder="1"/>
    <xf numFmtId="0" fontId="0" fillId="5" borderId="2" xfId="0" applyFill="1" applyBorder="1"/>
    <xf numFmtId="0" fontId="10" fillId="0" borderId="0" xfId="0" applyFont="1"/>
    <xf numFmtId="164" fontId="5" fillId="4" borderId="2" xfId="0" applyNumberFormat="1" applyFont="1" applyFill="1" applyBorder="1" applyAlignment="1">
      <alignment horizontal="center" vertical="center" wrapText="1"/>
    </xf>
    <xf numFmtId="0" fontId="35" fillId="12" borderId="3" xfId="0" applyFont="1" applyFill="1" applyBorder="1" applyAlignment="1">
      <alignment horizontal="center" vertical="center"/>
    </xf>
    <xf numFmtId="0" fontId="0" fillId="0" borderId="0" xfId="0"/>
    <xf numFmtId="0" fontId="38" fillId="12" borderId="3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 wrapText="1"/>
    </xf>
    <xf numFmtId="0" fontId="36" fillId="12" borderId="3" xfId="0" applyFont="1" applyFill="1" applyBorder="1" applyAlignment="1">
      <alignment horizontal="center" vertical="center" wrapText="1"/>
    </xf>
    <xf numFmtId="0" fontId="37" fillId="12" borderId="3" xfId="0" applyFont="1" applyFill="1" applyBorder="1" applyAlignment="1">
      <alignment horizontal="center" vertical="center" wrapText="1"/>
    </xf>
    <xf numFmtId="0" fontId="16" fillId="12" borderId="3" xfId="0" applyFont="1" applyFill="1" applyBorder="1" applyAlignment="1">
      <alignment horizontal="center" vertical="center" wrapText="1"/>
    </xf>
    <xf numFmtId="0" fontId="18" fillId="12" borderId="3" xfId="0" applyFont="1" applyFill="1" applyBorder="1" applyAlignment="1">
      <alignment horizontal="center" vertical="center" wrapText="1"/>
    </xf>
    <xf numFmtId="0" fontId="8" fillId="9" borderId="3" xfId="0" applyFont="1" applyFill="1" applyBorder="1"/>
    <xf numFmtId="0" fontId="17" fillId="3" borderId="3" xfId="0" applyFont="1" applyFill="1" applyBorder="1" applyAlignment="1">
      <alignment horizontal="left" vertical="center" wrapText="1"/>
    </xf>
    <xf numFmtId="0" fontId="15" fillId="2" borderId="3" xfId="0" applyFont="1" applyFill="1" applyBorder="1" applyAlignment="1">
      <alignment horizontal="left" vertical="center" wrapText="1"/>
    </xf>
    <xf numFmtId="0" fontId="4" fillId="2" borderId="3" xfId="0" applyFont="1" applyFill="1" applyBorder="1"/>
    <xf numFmtId="0" fontId="19" fillId="9" borderId="3" xfId="0" applyFont="1" applyFill="1" applyBorder="1"/>
    <xf numFmtId="0" fontId="24" fillId="9" borderId="3" xfId="0" applyFont="1" applyFill="1" applyBorder="1"/>
    <xf numFmtId="0" fontId="20" fillId="7" borderId="4" xfId="0" applyFont="1" applyFill="1" applyBorder="1" applyAlignment="1">
      <alignment horizontal="left" vertical="center"/>
    </xf>
    <xf numFmtId="0" fontId="0" fillId="0" borderId="9" xfId="0" applyBorder="1"/>
    <xf numFmtId="0" fontId="28" fillId="7" borderId="4" xfId="0" applyFont="1" applyFill="1" applyBorder="1"/>
    <xf numFmtId="0" fontId="0" fillId="0" borderId="12" xfId="0" applyBorder="1"/>
    <xf numFmtId="0" fontId="16" fillId="7" borderId="4" xfId="0" applyFont="1" applyFill="1" applyBorder="1" applyAlignment="1">
      <alignment horizontal="left" vertical="center"/>
    </xf>
    <xf numFmtId="0" fontId="0" fillId="7" borderId="13" xfId="0" applyFill="1" applyBorder="1"/>
    <xf numFmtId="0" fontId="0" fillId="0" borderId="14" xfId="0" applyBorder="1"/>
    <xf numFmtId="0" fontId="0" fillId="0" borderId="15" xfId="0" applyBorder="1"/>
    <xf numFmtId="167" fontId="26" fillId="7" borderId="4" xfId="0" applyNumberFormat="1" applyFont="1" applyFill="1" applyBorder="1" applyAlignment="1">
      <alignment horizontal="left" vertical="center"/>
    </xf>
    <xf numFmtId="0" fontId="0" fillId="0" borderId="8" xfId="0" applyBorder="1"/>
    <xf numFmtId="0" fontId="0" fillId="0" borderId="10" xfId="0" applyBorder="1"/>
    <xf numFmtId="0" fontId="0" fillId="0" borderId="11" xfId="0" applyBorder="1"/>
    <xf numFmtId="164" fontId="26" fillId="7" borderId="4" xfId="0" applyNumberFormat="1" applyFont="1" applyFill="1" applyBorder="1" applyAlignment="1">
      <alignment horizontal="left" vertical="center"/>
    </xf>
    <xf numFmtId="0" fontId="26" fillId="7" borderId="4" xfId="0" applyFont="1" applyFill="1" applyBorder="1" applyAlignment="1">
      <alignment horizontal="left" vertical="center"/>
    </xf>
    <xf numFmtId="9" fontId="26" fillId="7" borderId="4" xfId="0" applyNumberFormat="1" applyFont="1" applyFill="1" applyBorder="1" applyAlignment="1">
      <alignment horizontal="left" vertical="center"/>
    </xf>
    <xf numFmtId="0" fontId="10" fillId="9" borderId="3" xfId="0" applyFont="1" applyFill="1" applyBorder="1"/>
    <xf numFmtId="0" fontId="32" fillId="9" borderId="3" xfId="0" applyFont="1" applyFill="1" applyBorder="1" applyAlignment="1">
      <alignment horizontal="left" vertical="center" wrapText="1"/>
    </xf>
    <xf numFmtId="0" fontId="0" fillId="7" borderId="7" xfId="0" applyFill="1" applyBorder="1"/>
    <xf numFmtId="49" fontId="0" fillId="7" borderId="7" xfId="0" applyNumberFormat="1" applyFill="1" applyBorder="1"/>
    <xf numFmtId="0" fontId="27" fillId="9" borderId="3" xfId="0" applyFont="1" applyFill="1" applyBorder="1"/>
    <xf numFmtId="164" fontId="0" fillId="7" borderId="7" xfId="0" applyNumberFormat="1" applyFill="1" applyBorder="1"/>
    <xf numFmtId="0" fontId="33" fillId="9" borderId="3" xfId="0" applyFont="1" applyFill="1" applyBorder="1"/>
    <xf numFmtId="0" fontId="1" fillId="2" borderId="0" xfId="0" applyFont="1" applyFill="1" applyAlignment="1">
      <alignment horizontal="center" vertical="center" wrapText="1"/>
    </xf>
    <xf numFmtId="0" fontId="0" fillId="2" borderId="0" xfId="0" applyFill="1"/>
    <xf numFmtId="0" fontId="2" fillId="3" borderId="1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4" fillId="2" borderId="0" xfId="0" applyFont="1" applyFill="1"/>
    <xf numFmtId="164" fontId="21" fillId="7" borderId="4" xfId="0" applyNumberFormat="1" applyFont="1" applyFill="1" applyBorder="1" applyAlignment="1">
      <alignment horizontal="left" vertical="center"/>
    </xf>
    <xf numFmtId="0" fontId="0" fillId="7" borderId="4" xfId="0" applyFill="1" applyBorder="1"/>
    <xf numFmtId="167" fontId="21" fillId="7" borderId="4" xfId="0" applyNumberFormat="1" applyFont="1" applyFill="1" applyBorder="1" applyAlignment="1">
      <alignment horizontal="left" vertical="center"/>
    </xf>
    <xf numFmtId="0" fontId="20" fillId="7" borderId="4" xfId="0" applyFont="1" applyFill="1" applyBorder="1" applyAlignment="1">
      <alignment horizontal="left"/>
    </xf>
    <xf numFmtId="0" fontId="21" fillId="7" borderId="4" xfId="0" applyFont="1" applyFill="1" applyBorder="1" applyAlignment="1">
      <alignment horizontal="left" vertical="center"/>
    </xf>
    <xf numFmtId="9" fontId="21" fillId="7" borderId="4" xfId="0" applyNumberFormat="1" applyFont="1" applyFill="1" applyBorder="1" applyAlignment="1">
      <alignment horizontal="left" vertical="center"/>
    </xf>
    <xf numFmtId="0" fontId="0" fillId="7" borderId="2" xfId="0" applyFill="1" applyBorder="1"/>
    <xf numFmtId="0" fontId="0" fillId="0" borderId="5" xfId="0" applyBorder="1"/>
    <xf numFmtId="0" fontId="0" fillId="0" borderId="6" xfId="0" applyBorder="1"/>
    <xf numFmtId="0" fontId="0" fillId="9" borderId="3" xfId="0" applyFill="1" applyBorder="1"/>
    <xf numFmtId="0" fontId="23" fillId="7" borderId="2" xfId="0" applyFont="1" applyFill="1" applyBorder="1"/>
    <xf numFmtId="169" fontId="21" fillId="9" borderId="3" xfId="0" applyNumberFormat="1" applyFont="1" applyFill="1" applyBorder="1"/>
    <xf numFmtId="0" fontId="27" fillId="7" borderId="2" xfId="0" applyFont="1" applyFill="1" applyBorder="1"/>
    <xf numFmtId="0" fontId="28" fillId="7" borderId="2" xfId="0" applyFont="1" applyFill="1" applyBorder="1"/>
    <xf numFmtId="0" fontId="29" fillId="7" borderId="2" xfId="0" applyFont="1" applyFill="1" applyBorder="1"/>
    <xf numFmtId="0" fontId="30" fillId="9" borderId="3" xfId="0" applyFont="1" applyFill="1" applyBorder="1"/>
    <xf numFmtId="0" fontId="31" fillId="7" borderId="2" xfId="0" applyFont="1" applyFill="1" applyBorder="1"/>
    <xf numFmtId="0" fontId="0" fillId="9" borderId="2" xfId="0" applyFill="1" applyBorder="1"/>
    <xf numFmtId="0" fontId="25" fillId="9" borderId="3" xfId="0" applyFont="1" applyFill="1" applyBorder="1"/>
    <xf numFmtId="0" fontId="32" fillId="9" borderId="3" xfId="0" applyFont="1" applyFill="1" applyBorder="1"/>
    <xf numFmtId="0" fontId="26" fillId="9" borderId="3" xfId="0" applyFont="1" applyFill="1" applyBorder="1"/>
  </cellXfs>
  <cellStyles count="1">
    <cellStyle name="Normal" xfId="0" builtinId="0"/>
  </cellStyles>
  <dxfs count="13">
    <dxf>
      <fill>
        <patternFill patternType="solid">
          <fgColor rgb="FFFFF9C4"/>
        </patternFill>
      </fill>
    </dxf>
    <dxf>
      <fill>
        <patternFill patternType="solid">
          <fgColor rgb="FFFFCDD2"/>
        </patternFill>
      </fill>
    </dxf>
    <dxf>
      <fill>
        <patternFill patternType="solid">
          <fgColor rgb="FFFFEBEE"/>
        </patternFill>
      </fill>
    </dxf>
    <dxf>
      <fill>
        <patternFill patternType="solid">
          <fgColor rgb="FFFFCDD2"/>
        </patternFill>
      </fill>
    </dxf>
    <dxf>
      <fill>
        <patternFill patternType="solid">
          <fgColor rgb="FFC8E6C9"/>
        </patternFill>
      </fill>
    </dxf>
    <dxf>
      <fill>
        <patternFill patternType="solid">
          <fgColor rgb="FFFFCDD2"/>
        </patternFill>
      </fill>
    </dxf>
    <dxf>
      <fill>
        <patternFill patternType="solid">
          <fgColor rgb="FFFFCDD2"/>
        </patternFill>
      </fill>
    </dxf>
    <dxf>
      <fill>
        <patternFill patternType="solid">
          <fgColor rgb="FFFFCDD2"/>
        </patternFill>
      </fill>
    </dxf>
    <dxf>
      <fill>
        <patternFill patternType="solid">
          <fgColor rgb="FFFFF9C4"/>
        </patternFill>
      </fill>
    </dxf>
    <dxf>
      <fill>
        <patternFill patternType="solid">
          <fgColor rgb="FFC8E6C9"/>
        </patternFill>
      </fill>
    </dxf>
    <dxf>
      <fill>
        <patternFill patternType="solid">
          <fgColor rgb="FFFFCDD2"/>
        </patternFill>
      </fill>
    </dxf>
    <dxf>
      <fill>
        <patternFill patternType="solid">
          <fgColor rgb="FFFFF9C4"/>
        </patternFill>
      </fill>
    </dxf>
    <dxf>
      <fill>
        <patternFill patternType="solid">
          <fgColor rgb="FFC8E6C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alcChain" Target="calcChain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theme" Target="theme/theme1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10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'01_DASHBOARD'!$D$31</c:f>
              <c:strCache>
                <c:ptCount val="1"/>
                <c:pt idx="0">
                  <c:v>Receita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'01_DASHBOARD'!$C$32:$C$37</c:f>
              <c:strCache>
                <c:ptCount val="6"/>
                <c:pt idx="0">
                  <c:v>Fev</c:v>
                </c:pt>
                <c:pt idx="1">
                  <c:v>Mar</c:v>
                </c:pt>
                <c:pt idx="2">
                  <c:v>Abr</c:v>
                </c:pt>
                <c:pt idx="3">
                  <c:v>Mai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'01_DASHBOARD'!$D$32:$D$37</c:f>
              <c:numCache>
                <c:formatCode>\R\$\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B-4F1F-B248-A04C8346EDAE}"/>
            </c:ext>
          </c:extLst>
        </c:ser>
        <c:ser>
          <c:idx val="1"/>
          <c:order val="1"/>
          <c:tx>
            <c:strRef>
              <c:f>'01_DASHBOARD'!$E$31</c:f>
              <c:strCache>
                <c:ptCount val="1"/>
                <c:pt idx="0">
                  <c:v>Despesa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'01_DASHBOARD'!$C$32:$C$37</c:f>
              <c:strCache>
                <c:ptCount val="6"/>
                <c:pt idx="0">
                  <c:v>Fev</c:v>
                </c:pt>
                <c:pt idx="1">
                  <c:v>Mar</c:v>
                </c:pt>
                <c:pt idx="2">
                  <c:v>Abr</c:v>
                </c:pt>
                <c:pt idx="3">
                  <c:v>Mai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'01_DASHBOARD'!$E$32:$E$37</c:f>
              <c:numCache>
                <c:formatCode>\R\$\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EB-4F1F-B248-A04C8346E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\R\$\ 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10"/>
  <c:chart>
    <c:title>
      <c:tx>
        <c:rich>
          <a:bodyPr/>
          <a:lstStyle/>
          <a:p>
            <a:pPr>
              <a:defRPr/>
            </a:pPr>
            <a:r>
              <a:t>Evolução de Peso / IMC (exemplo Mariana)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'11_AVALIACAO'!$M$6</c:f>
              <c:strCache>
                <c:ptCount val="1"/>
                <c:pt idx="0">
                  <c:v>Peso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'11_AVALIACAO'!$L$7:$L$8</c:f>
              <c:numCache>
                <c:formatCode>m/d/yyyy</c:formatCode>
                <c:ptCount val="2"/>
                <c:pt idx="0">
                  <c:v>46032</c:v>
                </c:pt>
                <c:pt idx="1">
                  <c:v>46122</c:v>
                </c:pt>
              </c:numCache>
            </c:numRef>
          </c:cat>
          <c:val>
            <c:numRef>
              <c:f>'11_AVALIACAO'!$M$7:$M$8</c:f>
              <c:numCache>
                <c:formatCode>General</c:formatCode>
                <c:ptCount val="2"/>
                <c:pt idx="0">
                  <c:v>68.5</c:v>
                </c:pt>
                <c:pt idx="1">
                  <c:v>66.2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FA6-4B14-B2B6-80B5B690C6D2}"/>
            </c:ext>
          </c:extLst>
        </c:ser>
        <c:ser>
          <c:idx val="1"/>
          <c:order val="1"/>
          <c:tx>
            <c:strRef>
              <c:f>'11_AVALIACAO'!$N$6</c:f>
              <c:strCache>
                <c:ptCount val="1"/>
                <c:pt idx="0">
                  <c:v>IMC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'11_AVALIACAO'!$L$7:$L$8</c:f>
              <c:numCache>
                <c:formatCode>m/d/yyyy</c:formatCode>
                <c:ptCount val="2"/>
                <c:pt idx="0">
                  <c:v>46032</c:v>
                </c:pt>
                <c:pt idx="1">
                  <c:v>46122</c:v>
                </c:pt>
              </c:numCache>
            </c:numRef>
          </c:cat>
          <c:val>
            <c:numRef>
              <c:f>'11_AVALIACAO'!$N$7:$N$8</c:f>
              <c:numCache>
                <c:formatCode>General</c:formatCode>
                <c:ptCount val="2"/>
                <c:pt idx="0">
                  <c:v>24.2</c:v>
                </c:pt>
                <c:pt idx="1">
                  <c:v>22.8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FA6-4B14-B2B6-80B5B690C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Data</a:t>
                </a:r>
              </a:p>
            </c:rich>
          </c:tx>
          <c:overlay val="1"/>
        </c:title>
        <c:numFmt formatCode="m/d/yyyy" sourceLinked="1"/>
        <c:majorTickMark val="none"/>
        <c:minorTickMark val="none"/>
        <c:tickLblPos val="nextTo"/>
        <c:crossAx val="100"/>
        <c:crosses val="autoZero"/>
        <c:auto val="1"/>
        <c:lblOffset val="100"/>
        <c:baseTimeUnit val="months"/>
      </c:date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Valor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10"/>
  <c:chart>
    <c:title>
      <c:tx>
        <c:rich>
          <a:bodyPr/>
          <a:lstStyle/>
          <a:p>
            <a:pPr>
              <a:defRPr/>
            </a:pPr>
            <a:r>
              <a:t>Receita × Despesa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'13_DASH_FINANCEIRO'!$D$16</c:f>
              <c:strCache>
                <c:ptCount val="1"/>
                <c:pt idx="0">
                  <c:v>Receita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'13_DASH_FINANCEIRO'!$C$17:$C$22</c:f>
              <c:strCache>
                <c:ptCount val="6"/>
                <c:pt idx="0">
                  <c:v>Fev</c:v>
                </c:pt>
                <c:pt idx="1">
                  <c:v>Mar</c:v>
                </c:pt>
                <c:pt idx="2">
                  <c:v>Abr</c:v>
                </c:pt>
                <c:pt idx="3">
                  <c:v>Mai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'13_DASH_FINANCEIRO'!$D$17:$D$22</c:f>
              <c:numCache>
                <c:formatCode>\R\$\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A-4F5D-AFA9-C5AAC3C26BB7}"/>
            </c:ext>
          </c:extLst>
        </c:ser>
        <c:ser>
          <c:idx val="1"/>
          <c:order val="1"/>
          <c:tx>
            <c:strRef>
              <c:f>'13_DASH_FINANCEIRO'!$E$16</c:f>
              <c:strCache>
                <c:ptCount val="1"/>
                <c:pt idx="0">
                  <c:v>Despesa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'13_DASH_FINANCEIRO'!$C$17:$C$22</c:f>
              <c:strCache>
                <c:ptCount val="6"/>
                <c:pt idx="0">
                  <c:v>Fev</c:v>
                </c:pt>
                <c:pt idx="1">
                  <c:v>Mar</c:v>
                </c:pt>
                <c:pt idx="2">
                  <c:v>Abr</c:v>
                </c:pt>
                <c:pt idx="3">
                  <c:v>Mai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'13_DASH_FINANCEIRO'!$E$17:$E$22</c:f>
              <c:numCache>
                <c:formatCode>\R\$\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0A-4F5D-AFA9-C5AAC3C26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\R\$\ 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t>Alunos por Plano</a:t>
            </a:r>
          </a:p>
        </c:rich>
      </c:tx>
      <c:overlay val="1"/>
    </c:title>
    <c:autoTitleDeleted val="0"/>
    <c:plotArea>
      <c:layout/>
      <c:pieChart>
        <c:varyColors val="1"/>
        <c:ser>
          <c:idx val="0"/>
          <c:order val="0"/>
          <c:tx>
            <c:strRef>
              <c:f>'14_DASH_COMERCIAL'!$D$21</c:f>
              <c:strCache>
                <c:ptCount val="1"/>
                <c:pt idx="0">
                  <c:v>Qtd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'14_DASH_COMERCIAL'!$C$22:$C$27</c:f>
              <c:strCache>
                <c:ptCount val="6"/>
                <c:pt idx="0">
                  <c:v>Mensal</c:v>
                </c:pt>
                <c:pt idx="1">
                  <c:v>Trimestral</c:v>
                </c:pt>
                <c:pt idx="2">
                  <c:v>Semestral</c:v>
                </c:pt>
                <c:pt idx="3">
                  <c:v>Anual</c:v>
                </c:pt>
                <c:pt idx="4">
                  <c:v>Personal</c:v>
                </c:pt>
                <c:pt idx="5">
                  <c:v>Day Use</c:v>
                </c:pt>
              </c:strCache>
            </c:strRef>
          </c:cat>
          <c:val>
            <c:numRef>
              <c:f>'14_DASH_COMERCIAL'!$D$22:$D$27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8-460D-9B22-816C26F9AFF9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  <c:showLeaderLines val="1"/>
        </c:dLbls>
        <c:firstSliceAng val="0"/>
      </c:pie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t>Top professores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'17_DASH_PROFESSORES'!$E$13</c:f>
              <c:strCache>
                <c:ptCount val="1"/>
                <c:pt idx="0">
                  <c:v>Alunos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numRef>
              <c:f>'17_DASH_PROFESSORES'!$D$14:$D$23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'17_DASH_PROFESSORES'!$E$14:$E$23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2A-4F3E-BA48-8519F51BD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t>Hoje por tipo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'20_AGENDA'!$D$40</c:f>
              <c:strCache>
                <c:ptCount val="1"/>
                <c:pt idx="0">
                  <c:v>Qtd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'20_AGENDA'!$C$41:$C$47</c:f>
              <c:strCache>
                <c:ptCount val="7"/>
                <c:pt idx="0">
                  <c:v>Mensalidade</c:v>
                </c:pt>
                <c:pt idx="1">
                  <c:v>Avaliação Física</c:v>
                </c:pt>
                <c:pt idx="2">
                  <c:v>Aula Experimental</c:v>
                </c:pt>
                <c:pt idx="3">
                  <c:v>Renovação</c:v>
                </c:pt>
                <c:pt idx="4">
                  <c:v>Manutenção</c:v>
                </c:pt>
                <c:pt idx="5">
                  <c:v>Aniversário</c:v>
                </c:pt>
                <c:pt idx="6">
                  <c:v>Estoque</c:v>
                </c:pt>
              </c:strCache>
            </c:strRef>
          </c:cat>
          <c:val>
            <c:numRef>
              <c:f>'20_AGENDA'!$D$41:$D$47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BF-4992-86B2-6386164A5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t>Leads por origem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'23_DASH_CRM'!$H$12</c:f>
              <c:strCache>
                <c:ptCount val="1"/>
                <c:pt idx="0">
                  <c:v>Qtd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numRef>
              <c:f>'23_DASH_CRM'!$G$13:$G$20</c:f>
              <c:numCache>
                <c:formatCode>General</c:formatCode>
                <c:ptCount val="8"/>
              </c:numCache>
            </c:numRef>
          </c:cat>
          <c:val>
            <c:numRef>
              <c:f>'23_DASH_CRM'!$H$13:$H$20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B70-4007-AA73-E25269EBC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6</xdr:row>
      <xdr:rowOff>0</xdr:rowOff>
    </xdr:from>
    <xdr:ext cx="1333500" cy="13335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 editAs="oneCell">
    <xdr:from>
      <xdr:col>3</xdr:col>
      <xdr:colOff>0</xdr:colOff>
      <xdr:row>23</xdr:row>
      <xdr:rowOff>25400</xdr:rowOff>
    </xdr:from>
    <xdr:to>
      <xdr:col>9</xdr:col>
      <xdr:colOff>0</xdr:colOff>
      <xdr:row>23</xdr:row>
      <xdr:rowOff>508000</xdr:rowOff>
    </xdr:to>
    <xdr:sp macro="EntrarSistema" textlink="">
      <xdr:nvSpPr>
        <xdr:cNvPr id="3" name="btnLoginEntrar">
          <a:extLst>
            <a:ext uri="{FF2B5EF4-FFF2-40B4-BE49-F238E27FC236}">
              <a16:creationId xmlns:a16="http://schemas.microsoft.com/office/drawing/2014/main" id="{B2ADCB32-D9CE-092D-76AD-BDF9695AC18C}"/>
            </a:ext>
          </a:extLst>
        </xdr:cNvPr>
        <xdr:cNvSpPr/>
      </xdr:nvSpPr>
      <xdr:spPr>
        <a:xfrm>
          <a:off x="1851660" y="4665980"/>
          <a:ext cx="4526280" cy="4826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400" b="1">
              <a:solidFill>
                <a:srgbClr val="000000"/>
              </a:solidFill>
              <a:latin typeface="Calibri" panose="020F0502020204030204" pitchFamily="34" charset="0"/>
            </a:rPr>
            <a:t>ENTRAR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E0BF0CE8-B7E6-92E8-2615-2A3571752A26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6</xdr:row>
      <xdr:rowOff>411480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0C66E402-C24D-030A-857F-04DF50DAAFBB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7</xdr:row>
      <xdr:rowOff>60960</xdr:rowOff>
    </xdr:from>
    <xdr:to>
      <xdr:col>0</xdr:col>
      <xdr:colOff>1607820</xdr:colOff>
      <xdr:row>8</xdr:row>
      <xdr:rowOff>15240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EBC94EEB-95FF-2349-BE3A-481B3B8B3EF3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91440</xdr:rowOff>
    </xdr:from>
    <xdr:to>
      <xdr:col>0</xdr:col>
      <xdr:colOff>1607820</xdr:colOff>
      <xdr:row>9</xdr:row>
      <xdr:rowOff>45720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9C871F64-D452-8132-D369-4858CA02C8F4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121920</xdr:rowOff>
    </xdr:from>
    <xdr:to>
      <xdr:col>0</xdr:col>
      <xdr:colOff>1607820</xdr:colOff>
      <xdr:row>10</xdr:row>
      <xdr:rowOff>228600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A10F2C6A-903D-77AB-66CA-5153D8341206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30480</xdr:rowOff>
    </xdr:from>
    <xdr:to>
      <xdr:col>0</xdr:col>
      <xdr:colOff>1607820</xdr:colOff>
      <xdr:row>12</xdr:row>
      <xdr:rowOff>137160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408F42BF-D9EF-06D7-8D1E-394084BAA132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213360</xdr:rowOff>
    </xdr:from>
    <xdr:to>
      <xdr:col>0</xdr:col>
      <xdr:colOff>1607820</xdr:colOff>
      <xdr:row>14</xdr:row>
      <xdr:rowOff>45720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8FF1F005-B794-048E-EFDA-6D4EE7848C38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14</xdr:row>
      <xdr:rowOff>121920</xdr:rowOff>
    </xdr:from>
    <xdr:to>
      <xdr:col>0</xdr:col>
      <xdr:colOff>1607820</xdr:colOff>
      <xdr:row>15</xdr:row>
      <xdr:rowOff>228600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99A1CBB4-C6D5-CBB2-C884-92BED8EB091F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30480</xdr:rowOff>
    </xdr:from>
    <xdr:to>
      <xdr:col>0</xdr:col>
      <xdr:colOff>1607820</xdr:colOff>
      <xdr:row>17</xdr:row>
      <xdr:rowOff>137160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FBC73B05-C188-5767-FA01-6B983A9A9731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213360</xdr:rowOff>
    </xdr:from>
    <xdr:to>
      <xdr:col>0</xdr:col>
      <xdr:colOff>1607820</xdr:colOff>
      <xdr:row>19</xdr:row>
      <xdr:rowOff>45720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1FE11B96-11EA-C060-8C60-EC19F181904B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121920</xdr:rowOff>
    </xdr:from>
    <xdr:to>
      <xdr:col>0</xdr:col>
      <xdr:colOff>1607820</xdr:colOff>
      <xdr:row>20</xdr:row>
      <xdr:rowOff>76200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31DA4793-CA7E-0F71-ED6C-8A859C35F1B4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152400</xdr:rowOff>
    </xdr:from>
    <xdr:to>
      <xdr:col>0</xdr:col>
      <xdr:colOff>1607820</xdr:colOff>
      <xdr:row>21</xdr:row>
      <xdr:rowOff>106680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B73BE545-E32A-CF6D-30F8-C971F6615449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182880</xdr:rowOff>
    </xdr:from>
    <xdr:to>
      <xdr:col>0</xdr:col>
      <xdr:colOff>1607820</xdr:colOff>
      <xdr:row>22</xdr:row>
      <xdr:rowOff>137160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EB644801-6594-1687-34C7-EF369148333C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213360</xdr:rowOff>
    </xdr:from>
    <xdr:to>
      <xdr:col>0</xdr:col>
      <xdr:colOff>1607820</xdr:colOff>
      <xdr:row>23</xdr:row>
      <xdr:rowOff>167640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B1B620F8-26A0-B6AD-E3AD-BDDA64845B45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60960</xdr:rowOff>
    </xdr:from>
    <xdr:to>
      <xdr:col>0</xdr:col>
      <xdr:colOff>1607820</xdr:colOff>
      <xdr:row>26</xdr:row>
      <xdr:rowOff>76200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341A24D5-8D36-2107-0CC5-898B31677240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152400</xdr:rowOff>
    </xdr:from>
    <xdr:to>
      <xdr:col>0</xdr:col>
      <xdr:colOff>1607820</xdr:colOff>
      <xdr:row>28</xdr:row>
      <xdr:rowOff>167640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19051863-AE76-57F5-63F4-63863E063910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60960</xdr:rowOff>
    </xdr:from>
    <xdr:to>
      <xdr:col>0</xdr:col>
      <xdr:colOff>1607820</xdr:colOff>
      <xdr:row>31</xdr:row>
      <xdr:rowOff>76200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2852DB61-6139-7EE9-1512-B996C98AE94B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152400</xdr:rowOff>
    </xdr:from>
    <xdr:to>
      <xdr:col>0</xdr:col>
      <xdr:colOff>1607820</xdr:colOff>
      <xdr:row>33</xdr:row>
      <xdr:rowOff>167640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C782C4F1-27CC-98C7-7223-C8C431F64D14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60960</xdr:rowOff>
    </xdr:from>
    <xdr:to>
      <xdr:col>0</xdr:col>
      <xdr:colOff>1607820</xdr:colOff>
      <xdr:row>36</xdr:row>
      <xdr:rowOff>76200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F57BF566-ADBA-3031-BE8C-72F17984307A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36</xdr:row>
      <xdr:rowOff>152400</xdr:rowOff>
    </xdr:from>
    <xdr:to>
      <xdr:col>0</xdr:col>
      <xdr:colOff>1607820</xdr:colOff>
      <xdr:row>38</xdr:row>
      <xdr:rowOff>167640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93D71CC0-2D7D-B56A-C49C-41C3D6C15573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40</xdr:row>
      <xdr:rowOff>5080</xdr:rowOff>
    </xdr:from>
    <xdr:to>
      <xdr:col>0</xdr:col>
      <xdr:colOff>1607820</xdr:colOff>
      <xdr:row>42</xdr:row>
      <xdr:rowOff>20320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6AC07FAA-D5ED-D423-616C-7A8E7314CB9E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3</xdr:col>
      <xdr:colOff>693420</xdr:colOff>
      <xdr:row>32</xdr:row>
      <xdr:rowOff>15240</xdr:rowOff>
    </xdr:to>
    <xdr:sp macro="AbrirAcaoSelecionada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F3557268-B200-CAE1-9F28-6FEC4A487A18}"/>
            </a:ext>
          </a:extLst>
        </xdr:cNvPr>
        <xdr:cNvSpPr/>
      </xdr:nvSpPr>
      <xdr:spPr>
        <a:xfrm>
          <a:off x="1783080" y="8481060"/>
          <a:ext cx="11049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Abrir Ação</a:t>
          </a:r>
        </a:p>
      </xdr:txBody>
    </xdr:sp>
    <xdr:clientData/>
  </xdr:twoCellAnchor>
  <xdr:twoCellAnchor editAs="oneCell">
    <xdr:from>
      <xdr:col>3</xdr:col>
      <xdr:colOff>820420</xdr:colOff>
      <xdr:row>30</xdr:row>
      <xdr:rowOff>0</xdr:rowOff>
    </xdr:from>
    <xdr:to>
      <xdr:col>3</xdr:col>
      <xdr:colOff>1925320</xdr:colOff>
      <xdr:row>32</xdr:row>
      <xdr:rowOff>15240</xdr:rowOff>
    </xdr:to>
    <xdr:sp macro="AtualizarPainel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06AFC1B-D570-0965-8A0E-1AF8EADA6935}"/>
            </a:ext>
          </a:extLst>
        </xdr:cNvPr>
        <xdr:cNvSpPr/>
      </xdr:nvSpPr>
      <xdr:spPr>
        <a:xfrm>
          <a:off x="3014980" y="8481060"/>
          <a:ext cx="11049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3</xdr:col>
      <xdr:colOff>2052320</xdr:colOff>
      <xdr:row>30</xdr:row>
      <xdr:rowOff>0</xdr:rowOff>
    </xdr:from>
    <xdr:to>
      <xdr:col>4</xdr:col>
      <xdr:colOff>414020</xdr:colOff>
      <xdr:row>32</xdr:row>
      <xdr:rowOff>15240</xdr:rowOff>
    </xdr:to>
    <xdr:sp macro="AbrirAgendaEAtualizar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27CEAC86-6A4B-8A61-C76E-41CF9DFF0098}"/>
            </a:ext>
          </a:extLst>
        </xdr:cNvPr>
        <xdr:cNvSpPr/>
      </xdr:nvSpPr>
      <xdr:spPr>
        <a:xfrm>
          <a:off x="4246880" y="8481060"/>
          <a:ext cx="11049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Agenda</a:t>
          </a:r>
        </a:p>
      </xdr:txBody>
    </xdr:sp>
    <xdr:clientData/>
  </xdr:twoCellAnchor>
  <xdr:twoCellAnchor editAs="oneCell">
    <xdr:from>
      <xdr:col>4</xdr:col>
      <xdr:colOff>541020</xdr:colOff>
      <xdr:row>30</xdr:row>
      <xdr:rowOff>0</xdr:rowOff>
    </xdr:from>
    <xdr:to>
      <xdr:col>6</xdr:col>
      <xdr:colOff>0</xdr:colOff>
      <xdr:row>32</xdr:row>
      <xdr:rowOff>15240</xdr:rowOff>
    </xdr:to>
    <xdr:sp macro="AbrirCRMEAtualizar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50119DBE-0DD9-E618-DACC-26B2557EF589}"/>
            </a:ext>
          </a:extLst>
        </xdr:cNvPr>
        <xdr:cNvSpPr/>
      </xdr:nvSpPr>
      <xdr:spPr>
        <a:xfrm>
          <a:off x="5478780" y="8481060"/>
          <a:ext cx="11049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CRM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29</xdr:row>
      <xdr:rowOff>0</xdr:rowOff>
    </xdr:from>
    <xdr:ext cx="360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3" name="mnuHome">
          <a:extLst>
            <a:ext uri="{FF2B5EF4-FFF2-40B4-BE49-F238E27FC236}">
              <a16:creationId xmlns:a16="http://schemas.microsoft.com/office/drawing/2014/main" id="{3668AF1A-9DB4-D59A-90B5-F1ECD412B0ED}"/>
            </a:ext>
          </a:extLst>
        </xdr:cNvPr>
        <xdr:cNvSpPr/>
      </xdr:nvSpPr>
      <xdr:spPr>
        <a:xfrm>
          <a:off x="38100" y="11049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182880</xdr:rowOff>
    </xdr:to>
    <xdr:sp macro="IrMaster" textlink="">
      <xdr:nvSpPr>
        <xdr:cNvPr id="4" name="mnuMaster">
          <a:extLst>
            <a:ext uri="{FF2B5EF4-FFF2-40B4-BE49-F238E27FC236}">
              <a16:creationId xmlns:a16="http://schemas.microsoft.com/office/drawing/2014/main" id="{BAA6074F-B15A-FDC2-E52E-ED0A8D76258D}"/>
            </a:ext>
          </a:extLst>
        </xdr:cNvPr>
        <xdr:cNvSpPr/>
      </xdr:nvSpPr>
      <xdr:spPr>
        <a:xfrm>
          <a:off x="38100" y="156210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30480</xdr:rowOff>
    </xdr:from>
    <xdr:to>
      <xdr:col>0</xdr:col>
      <xdr:colOff>1607820</xdr:colOff>
      <xdr:row>9</xdr:row>
      <xdr:rowOff>182880</xdr:rowOff>
    </xdr:to>
    <xdr:sp macro="IrFranqueadora" textlink="">
      <xdr:nvSpPr>
        <xdr:cNvPr id="5" name="mnuFranquia">
          <a:extLst>
            <a:ext uri="{FF2B5EF4-FFF2-40B4-BE49-F238E27FC236}">
              <a16:creationId xmlns:a16="http://schemas.microsoft.com/office/drawing/2014/main" id="{E35DDB37-7B83-BA6B-4974-81EA4BD71F22}"/>
            </a:ext>
          </a:extLst>
        </xdr:cNvPr>
        <xdr:cNvSpPr/>
      </xdr:nvSpPr>
      <xdr:spPr>
        <a:xfrm>
          <a:off x="38100" y="201930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30480</xdr:rowOff>
    </xdr:from>
    <xdr:to>
      <xdr:col>0</xdr:col>
      <xdr:colOff>1607820</xdr:colOff>
      <xdr:row>10</xdr:row>
      <xdr:rowOff>411480</xdr:rowOff>
    </xdr:to>
    <xdr:sp macro="IrUnidades" textlink="">
      <xdr:nvSpPr>
        <xdr:cNvPr id="6" name="mnuUnidades">
          <a:extLst>
            <a:ext uri="{FF2B5EF4-FFF2-40B4-BE49-F238E27FC236}">
              <a16:creationId xmlns:a16="http://schemas.microsoft.com/office/drawing/2014/main" id="{D0B545F5-7B26-5DCC-780C-7C8BACD92F03}"/>
            </a:ext>
          </a:extLst>
        </xdr:cNvPr>
        <xdr:cNvSpPr/>
      </xdr:nvSpPr>
      <xdr:spPr>
        <a:xfrm>
          <a:off x="38100" y="247650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60960</xdr:rowOff>
    </xdr:from>
    <xdr:to>
      <xdr:col>0</xdr:col>
      <xdr:colOff>1607820</xdr:colOff>
      <xdr:row>12</xdr:row>
      <xdr:rowOff>213360</xdr:rowOff>
    </xdr:to>
    <xdr:sp macro="IrAthenaAI" textlink="">
      <xdr:nvSpPr>
        <xdr:cNvPr id="7" name="mnuAthena">
          <a:extLst>
            <a:ext uri="{FF2B5EF4-FFF2-40B4-BE49-F238E27FC236}">
              <a16:creationId xmlns:a16="http://schemas.microsoft.com/office/drawing/2014/main" id="{8AC30E0E-3DFC-F608-4266-D8EFCF15B16F}"/>
            </a:ext>
          </a:extLst>
        </xdr:cNvPr>
        <xdr:cNvSpPr/>
      </xdr:nvSpPr>
      <xdr:spPr>
        <a:xfrm>
          <a:off x="38100" y="293370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60960</xdr:rowOff>
    </xdr:from>
    <xdr:to>
      <xdr:col>0</xdr:col>
      <xdr:colOff>1607820</xdr:colOff>
      <xdr:row>14</xdr:row>
      <xdr:rowOff>213360</xdr:rowOff>
    </xdr:to>
    <xdr:sp macro="IrBIExecutivo" textlink="">
      <xdr:nvSpPr>
        <xdr:cNvPr id="8" name="mnuBI">
          <a:extLst>
            <a:ext uri="{FF2B5EF4-FFF2-40B4-BE49-F238E27FC236}">
              <a16:creationId xmlns:a16="http://schemas.microsoft.com/office/drawing/2014/main" id="{212C666D-C421-B33C-0989-BEA94FA7C471}"/>
            </a:ext>
          </a:extLst>
        </xdr:cNvPr>
        <xdr:cNvSpPr/>
      </xdr:nvSpPr>
      <xdr:spPr>
        <a:xfrm>
          <a:off x="38100" y="339090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60960</xdr:rowOff>
    </xdr:from>
    <xdr:to>
      <xdr:col>0</xdr:col>
      <xdr:colOff>1607820</xdr:colOff>
      <xdr:row>16</xdr:row>
      <xdr:rowOff>15240</xdr:rowOff>
    </xdr:to>
    <xdr:sp macro="IrDashboard" textlink="">
      <xdr:nvSpPr>
        <xdr:cNvPr id="9" name="mnuDashboard">
          <a:extLst>
            <a:ext uri="{FF2B5EF4-FFF2-40B4-BE49-F238E27FC236}">
              <a16:creationId xmlns:a16="http://schemas.microsoft.com/office/drawing/2014/main" id="{BFA7DA19-F77C-D54E-E57D-F2B7F04B3988}"/>
            </a:ext>
          </a:extLst>
        </xdr:cNvPr>
        <xdr:cNvSpPr/>
      </xdr:nvSpPr>
      <xdr:spPr>
        <a:xfrm>
          <a:off x="38100" y="384810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91440</xdr:rowOff>
    </xdr:from>
    <xdr:to>
      <xdr:col>0</xdr:col>
      <xdr:colOff>1607820</xdr:colOff>
      <xdr:row>18</xdr:row>
      <xdr:rowOff>15240</xdr:rowOff>
    </xdr:to>
    <xdr:sp macro="IrPortalAluno" textlink="">
      <xdr:nvSpPr>
        <xdr:cNvPr id="10" name="mnuPortal">
          <a:extLst>
            <a:ext uri="{FF2B5EF4-FFF2-40B4-BE49-F238E27FC236}">
              <a16:creationId xmlns:a16="http://schemas.microsoft.com/office/drawing/2014/main" id="{F51597EA-25CD-1C1E-8546-77272F60BB93}"/>
            </a:ext>
          </a:extLst>
        </xdr:cNvPr>
        <xdr:cNvSpPr/>
      </xdr:nvSpPr>
      <xdr:spPr>
        <a:xfrm>
          <a:off x="38100" y="43053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91440</xdr:rowOff>
    </xdr:from>
    <xdr:to>
      <xdr:col>0</xdr:col>
      <xdr:colOff>1607820</xdr:colOff>
      <xdr:row>20</xdr:row>
      <xdr:rowOff>15240</xdr:rowOff>
    </xdr:to>
    <xdr:sp macro="IrPortalOps" textlink="">
      <xdr:nvSpPr>
        <xdr:cNvPr id="11" name="mnuPortalOps">
          <a:extLst>
            <a:ext uri="{FF2B5EF4-FFF2-40B4-BE49-F238E27FC236}">
              <a16:creationId xmlns:a16="http://schemas.microsoft.com/office/drawing/2014/main" id="{25BD04FD-C3D6-8F95-CACB-67A8C8028DF2}"/>
            </a:ext>
          </a:extLst>
        </xdr:cNvPr>
        <xdr:cNvSpPr/>
      </xdr:nvSpPr>
      <xdr:spPr>
        <a:xfrm>
          <a:off x="38100" y="47625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91440</xdr:rowOff>
    </xdr:from>
    <xdr:to>
      <xdr:col>0</xdr:col>
      <xdr:colOff>1607820</xdr:colOff>
      <xdr:row>21</xdr:row>
      <xdr:rowOff>45720</xdr:rowOff>
    </xdr:to>
    <xdr:sp macro="IrAcesso" textlink="">
      <xdr:nvSpPr>
        <xdr:cNvPr id="12" name="mnuAcesso">
          <a:extLst>
            <a:ext uri="{FF2B5EF4-FFF2-40B4-BE49-F238E27FC236}">
              <a16:creationId xmlns:a16="http://schemas.microsoft.com/office/drawing/2014/main" id="{907A4A7B-3CF3-83B7-6A94-554968339D74}"/>
            </a:ext>
          </a:extLst>
        </xdr:cNvPr>
        <xdr:cNvSpPr/>
      </xdr:nvSpPr>
      <xdr:spPr>
        <a:xfrm>
          <a:off x="38100" y="52197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121920</xdr:rowOff>
    </xdr:from>
    <xdr:to>
      <xdr:col>0</xdr:col>
      <xdr:colOff>1607820</xdr:colOff>
      <xdr:row>22</xdr:row>
      <xdr:rowOff>76200</xdr:rowOff>
    </xdr:to>
    <xdr:sp macro="IrPDV" textlink="">
      <xdr:nvSpPr>
        <xdr:cNvPr id="13" name="mnuPDV">
          <a:extLst>
            <a:ext uri="{FF2B5EF4-FFF2-40B4-BE49-F238E27FC236}">
              <a16:creationId xmlns:a16="http://schemas.microsoft.com/office/drawing/2014/main" id="{34366230-FA09-A509-CE93-5394DABA969E}"/>
            </a:ext>
          </a:extLst>
        </xdr:cNvPr>
        <xdr:cNvSpPr/>
      </xdr:nvSpPr>
      <xdr:spPr>
        <a:xfrm>
          <a:off x="38100" y="56769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152400</xdr:rowOff>
    </xdr:from>
    <xdr:to>
      <xdr:col>0</xdr:col>
      <xdr:colOff>1607820</xdr:colOff>
      <xdr:row>23</xdr:row>
      <xdr:rowOff>106680</xdr:rowOff>
    </xdr:to>
    <xdr:sp macro="IrCRM" textlink="">
      <xdr:nvSpPr>
        <xdr:cNvPr id="14" name="mnuCRM">
          <a:extLst>
            <a:ext uri="{FF2B5EF4-FFF2-40B4-BE49-F238E27FC236}">
              <a16:creationId xmlns:a16="http://schemas.microsoft.com/office/drawing/2014/main" id="{78B50F14-081E-13D2-162A-4086A33EEC11}"/>
            </a:ext>
          </a:extLst>
        </xdr:cNvPr>
        <xdr:cNvSpPr/>
      </xdr:nvSpPr>
      <xdr:spPr>
        <a:xfrm>
          <a:off x="38100" y="61341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0</xdr:rowOff>
    </xdr:from>
    <xdr:to>
      <xdr:col>0</xdr:col>
      <xdr:colOff>1607820</xdr:colOff>
      <xdr:row>26</xdr:row>
      <xdr:rowOff>15240</xdr:rowOff>
    </xdr:to>
    <xdr:sp macro="IrFormAluno" textlink="">
      <xdr:nvSpPr>
        <xdr:cNvPr id="15" name="mnuAlunos">
          <a:extLst>
            <a:ext uri="{FF2B5EF4-FFF2-40B4-BE49-F238E27FC236}">
              <a16:creationId xmlns:a16="http://schemas.microsoft.com/office/drawing/2014/main" id="{18F61AE3-3BB6-672A-0176-6C854C81D249}"/>
            </a:ext>
          </a:extLst>
        </xdr:cNvPr>
        <xdr:cNvSpPr/>
      </xdr:nvSpPr>
      <xdr:spPr>
        <a:xfrm>
          <a:off x="38100" y="65913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91440</xdr:rowOff>
    </xdr:from>
    <xdr:to>
      <xdr:col>0</xdr:col>
      <xdr:colOff>1607820</xdr:colOff>
      <xdr:row>28</xdr:row>
      <xdr:rowOff>106680</xdr:rowOff>
    </xdr:to>
    <xdr:sp macro="IrAvaliacao" textlink="">
      <xdr:nvSpPr>
        <xdr:cNvPr id="16" name="mnuAvaliacao">
          <a:extLst>
            <a:ext uri="{FF2B5EF4-FFF2-40B4-BE49-F238E27FC236}">
              <a16:creationId xmlns:a16="http://schemas.microsoft.com/office/drawing/2014/main" id="{ABDAB4C4-1B34-66FD-FF29-57A8B48978CA}"/>
            </a:ext>
          </a:extLst>
        </xdr:cNvPr>
        <xdr:cNvSpPr/>
      </xdr:nvSpPr>
      <xdr:spPr>
        <a:xfrm>
          <a:off x="38100" y="70485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0</xdr:rowOff>
    </xdr:from>
    <xdr:to>
      <xdr:col>0</xdr:col>
      <xdr:colOff>1607820</xdr:colOff>
      <xdr:row>31</xdr:row>
      <xdr:rowOff>15240</xdr:rowOff>
    </xdr:to>
    <xdr:sp macro="IrTreinos" textlink="">
      <xdr:nvSpPr>
        <xdr:cNvPr id="17" name="mnuTreinos">
          <a:extLst>
            <a:ext uri="{FF2B5EF4-FFF2-40B4-BE49-F238E27FC236}">
              <a16:creationId xmlns:a16="http://schemas.microsoft.com/office/drawing/2014/main" id="{0290635E-1F77-6975-4836-38A6166D0FFA}"/>
            </a:ext>
          </a:extLst>
        </xdr:cNvPr>
        <xdr:cNvSpPr/>
      </xdr:nvSpPr>
      <xdr:spPr>
        <a:xfrm>
          <a:off x="38100" y="75057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91440</xdr:rowOff>
    </xdr:from>
    <xdr:to>
      <xdr:col>0</xdr:col>
      <xdr:colOff>1607820</xdr:colOff>
      <xdr:row>33</xdr:row>
      <xdr:rowOff>106680</xdr:rowOff>
    </xdr:to>
    <xdr:sp macro="IrMensalidades" textlink="">
      <xdr:nvSpPr>
        <xdr:cNvPr id="18" name="mnuMensalidades">
          <a:extLst>
            <a:ext uri="{FF2B5EF4-FFF2-40B4-BE49-F238E27FC236}">
              <a16:creationId xmlns:a16="http://schemas.microsoft.com/office/drawing/2014/main" id="{46EF90E7-5374-9535-8E0A-78E3CB92D937}"/>
            </a:ext>
          </a:extLst>
        </xdr:cNvPr>
        <xdr:cNvSpPr/>
      </xdr:nvSpPr>
      <xdr:spPr>
        <a:xfrm>
          <a:off x="38100" y="79629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0</xdr:rowOff>
    </xdr:from>
    <xdr:to>
      <xdr:col>0</xdr:col>
      <xdr:colOff>1607820</xdr:colOff>
      <xdr:row>36</xdr:row>
      <xdr:rowOff>15240</xdr:rowOff>
    </xdr:to>
    <xdr:sp macro="IrFinanceiro" textlink="">
      <xdr:nvSpPr>
        <xdr:cNvPr id="19" name="mnuFinanceiro">
          <a:extLst>
            <a:ext uri="{FF2B5EF4-FFF2-40B4-BE49-F238E27FC236}">
              <a16:creationId xmlns:a16="http://schemas.microsoft.com/office/drawing/2014/main" id="{A6FD3601-696B-6A19-867B-9887EE704F43}"/>
            </a:ext>
          </a:extLst>
        </xdr:cNvPr>
        <xdr:cNvSpPr/>
      </xdr:nvSpPr>
      <xdr:spPr>
        <a:xfrm>
          <a:off x="38100" y="84201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36</xdr:row>
      <xdr:rowOff>91440</xdr:rowOff>
    </xdr:from>
    <xdr:to>
      <xdr:col>0</xdr:col>
      <xdr:colOff>1607820</xdr:colOff>
      <xdr:row>38</xdr:row>
      <xdr:rowOff>106680</xdr:rowOff>
    </xdr:to>
    <xdr:sp macro="IrEstoque" textlink="">
      <xdr:nvSpPr>
        <xdr:cNvPr id="20" name="mnuEstoque">
          <a:extLst>
            <a:ext uri="{FF2B5EF4-FFF2-40B4-BE49-F238E27FC236}">
              <a16:creationId xmlns:a16="http://schemas.microsoft.com/office/drawing/2014/main" id="{F31D9841-9641-1446-9373-1F20FDBCAE64}"/>
            </a:ext>
          </a:extLst>
        </xdr:cNvPr>
        <xdr:cNvSpPr/>
      </xdr:nvSpPr>
      <xdr:spPr>
        <a:xfrm>
          <a:off x="38100" y="88773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39</xdr:row>
      <xdr:rowOff>0</xdr:rowOff>
    </xdr:from>
    <xdr:to>
      <xdr:col>0</xdr:col>
      <xdr:colOff>1607820</xdr:colOff>
      <xdr:row>41</xdr:row>
      <xdr:rowOff>15240</xdr:rowOff>
    </xdr:to>
    <xdr:sp macro="IrRelatorios" textlink="">
      <xdr:nvSpPr>
        <xdr:cNvPr id="21" name="mnuRelatorios">
          <a:extLst>
            <a:ext uri="{FF2B5EF4-FFF2-40B4-BE49-F238E27FC236}">
              <a16:creationId xmlns:a16="http://schemas.microsoft.com/office/drawing/2014/main" id="{A7271C42-D0DA-9CD9-71CB-7625C9F2D158}"/>
            </a:ext>
          </a:extLst>
        </xdr:cNvPr>
        <xdr:cNvSpPr/>
      </xdr:nvSpPr>
      <xdr:spPr>
        <a:xfrm>
          <a:off x="38100" y="93345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41</xdr:row>
      <xdr:rowOff>91440</xdr:rowOff>
    </xdr:from>
    <xdr:to>
      <xdr:col>0</xdr:col>
      <xdr:colOff>1607820</xdr:colOff>
      <xdr:row>43</xdr:row>
      <xdr:rowOff>106680</xdr:rowOff>
    </xdr:to>
    <xdr:sp macro="IrConfig" textlink="">
      <xdr:nvSpPr>
        <xdr:cNvPr id="22" name="mnuConfig">
          <a:extLst>
            <a:ext uri="{FF2B5EF4-FFF2-40B4-BE49-F238E27FC236}">
              <a16:creationId xmlns:a16="http://schemas.microsoft.com/office/drawing/2014/main" id="{C2F5C78E-2087-E953-3CC8-0F57184C67E9}"/>
            </a:ext>
          </a:extLst>
        </xdr:cNvPr>
        <xdr:cNvSpPr/>
      </xdr:nvSpPr>
      <xdr:spPr>
        <a:xfrm>
          <a:off x="38100" y="97917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44</xdr:row>
      <xdr:rowOff>127000</xdr:rowOff>
    </xdr:from>
    <xdr:to>
      <xdr:col>0</xdr:col>
      <xdr:colOff>1607820</xdr:colOff>
      <xdr:row>46</xdr:row>
      <xdr:rowOff>142240</xdr:rowOff>
    </xdr:to>
    <xdr:sp macro="SairSistema" textlink="">
      <xdr:nvSpPr>
        <xdr:cNvPr id="23" name="mnuSair">
          <a:extLst>
            <a:ext uri="{FF2B5EF4-FFF2-40B4-BE49-F238E27FC236}">
              <a16:creationId xmlns:a16="http://schemas.microsoft.com/office/drawing/2014/main" id="{71FA0A28-3C82-6210-73E7-B5288A59E4E4}"/>
            </a:ext>
          </a:extLst>
        </xdr:cNvPr>
        <xdr:cNvSpPr/>
      </xdr:nvSpPr>
      <xdr:spPr>
        <a:xfrm>
          <a:off x="38100" y="1037590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49</xdr:row>
      <xdr:rowOff>0</xdr:rowOff>
    </xdr:from>
    <xdr:to>
      <xdr:col>2</xdr:col>
      <xdr:colOff>864870</xdr:colOff>
      <xdr:row>50</xdr:row>
      <xdr:rowOff>129540</xdr:rowOff>
    </xdr:to>
    <xdr:sp macro="AtualizarDashboards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DDD30EEE-0C4C-A028-62F1-64E58035D73D}"/>
            </a:ext>
          </a:extLst>
        </xdr:cNvPr>
        <xdr:cNvSpPr/>
      </xdr:nvSpPr>
      <xdr:spPr>
        <a:xfrm>
          <a:off x="1851660" y="1116330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 BI</a:t>
          </a:r>
        </a:p>
      </xdr:txBody>
    </xdr:sp>
    <xdr:clientData/>
  </xdr:twoCellAnchor>
  <xdr:twoCellAnchor editAs="oneCell">
    <xdr:from>
      <xdr:col>3</xdr:col>
      <xdr:colOff>31750</xdr:colOff>
      <xdr:row>49</xdr:row>
      <xdr:rowOff>0</xdr:rowOff>
    </xdr:from>
    <xdr:to>
      <xdr:col>3</xdr:col>
      <xdr:colOff>896620</xdr:colOff>
      <xdr:row>50</xdr:row>
      <xdr:rowOff>129540</xdr:rowOff>
    </xdr:to>
    <xdr:sp macro="AbrirAgendaEAtualizar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1F14E163-B4AD-7721-3DD7-0E4535DB5C2E}"/>
            </a:ext>
          </a:extLst>
        </xdr:cNvPr>
        <xdr:cNvSpPr/>
      </xdr:nvSpPr>
      <xdr:spPr>
        <a:xfrm>
          <a:off x="2843530" y="1116330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📅 Agenda</a:t>
          </a:r>
        </a:p>
      </xdr:txBody>
    </xdr:sp>
    <xdr:clientData/>
  </xdr:twoCellAnchor>
  <xdr:twoCellAnchor editAs="oneCell">
    <xdr:from>
      <xdr:col>4</xdr:col>
      <xdr:colOff>63500</xdr:colOff>
      <xdr:row>49</xdr:row>
      <xdr:rowOff>0</xdr:rowOff>
    </xdr:from>
    <xdr:to>
      <xdr:col>4</xdr:col>
      <xdr:colOff>928370</xdr:colOff>
      <xdr:row>50</xdr:row>
      <xdr:rowOff>129540</xdr:rowOff>
    </xdr:to>
    <xdr:sp macro="IrDashComercial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2C4CD9C9-05EB-82EA-E0F7-56ABA202F94B}"/>
            </a:ext>
          </a:extLst>
        </xdr:cNvPr>
        <xdr:cNvSpPr/>
      </xdr:nvSpPr>
      <xdr:spPr>
        <a:xfrm>
          <a:off x="3835400" y="1116330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Comercial</a:t>
          </a:r>
        </a:p>
      </xdr:txBody>
    </xdr:sp>
    <xdr:clientData/>
  </xdr:twoCellAnchor>
  <xdr:twoCellAnchor editAs="oneCell">
    <xdr:from>
      <xdr:col>5</xdr:col>
      <xdr:colOff>95250</xdr:colOff>
      <xdr:row>49</xdr:row>
      <xdr:rowOff>0</xdr:rowOff>
    </xdr:from>
    <xdr:to>
      <xdr:col>6</xdr:col>
      <xdr:colOff>0</xdr:colOff>
      <xdr:row>50</xdr:row>
      <xdr:rowOff>129540</xdr:rowOff>
    </xdr:to>
    <xdr:sp macro="IrDashFinanceiro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250396C-5465-D8CC-C96A-6FBB3667D738}"/>
            </a:ext>
          </a:extLst>
        </xdr:cNvPr>
        <xdr:cNvSpPr/>
      </xdr:nvSpPr>
      <xdr:spPr>
        <a:xfrm>
          <a:off x="4827270" y="1116330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Financeiro</a:t>
          </a:r>
        </a:p>
      </xdr:txBody>
    </xdr:sp>
    <xdr:clientData/>
  </xdr:twoCellAnchor>
  <xdr:twoCellAnchor editAs="oneCell">
    <xdr:from>
      <xdr:col>2</xdr:col>
      <xdr:colOff>0</xdr:colOff>
      <xdr:row>51</xdr:row>
      <xdr:rowOff>5080</xdr:rowOff>
    </xdr:from>
    <xdr:to>
      <xdr:col>2</xdr:col>
      <xdr:colOff>864870</xdr:colOff>
      <xdr:row>52</xdr:row>
      <xdr:rowOff>134620</xdr:rowOff>
    </xdr:to>
    <xdr:sp macro="IrDashProfessores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B74F068D-6309-05EF-6039-6CB2F0C7066D}"/>
            </a:ext>
          </a:extLst>
        </xdr:cNvPr>
        <xdr:cNvSpPr/>
      </xdr:nvSpPr>
      <xdr:spPr>
        <a:xfrm>
          <a:off x="1851660" y="1167130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Professores</a:t>
          </a:r>
        </a:p>
      </xdr:txBody>
    </xdr:sp>
    <xdr:clientData/>
  </xdr:twoCellAnchor>
  <xdr:twoCellAnchor editAs="oneCell">
    <xdr:from>
      <xdr:col>3</xdr:col>
      <xdr:colOff>31750</xdr:colOff>
      <xdr:row>51</xdr:row>
      <xdr:rowOff>5080</xdr:rowOff>
    </xdr:from>
    <xdr:to>
      <xdr:col>3</xdr:col>
      <xdr:colOff>896620</xdr:colOff>
      <xdr:row>52</xdr:row>
      <xdr:rowOff>134620</xdr:rowOff>
    </xdr:to>
    <xdr:sp macro="IrDashEstoqueBI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6DC16DDA-AABB-4805-E711-BA7C58237008}"/>
            </a:ext>
          </a:extLst>
        </xdr:cNvPr>
        <xdr:cNvSpPr/>
      </xdr:nvSpPr>
      <xdr:spPr>
        <a:xfrm>
          <a:off x="2843530" y="1167130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Estoque BI</a:t>
          </a:r>
        </a:p>
      </xdr:txBody>
    </xdr:sp>
    <xdr:clientData/>
  </xdr:twoCellAnchor>
  <xdr:twoCellAnchor editAs="oneCell">
    <xdr:from>
      <xdr:col>4</xdr:col>
      <xdr:colOff>63500</xdr:colOff>
      <xdr:row>51</xdr:row>
      <xdr:rowOff>5080</xdr:rowOff>
    </xdr:from>
    <xdr:to>
      <xdr:col>4</xdr:col>
      <xdr:colOff>928370</xdr:colOff>
      <xdr:row>52</xdr:row>
      <xdr:rowOff>134620</xdr:rowOff>
    </xdr:to>
    <xdr:sp macro="IrDashEquipamentos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27C08AA8-B1B9-C7C7-A850-9C4FBBD8EC87}"/>
            </a:ext>
          </a:extLst>
        </xdr:cNvPr>
        <xdr:cNvSpPr/>
      </xdr:nvSpPr>
      <xdr:spPr>
        <a:xfrm>
          <a:off x="3835400" y="1167130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Equipamentos</a:t>
          </a:r>
        </a:p>
      </xdr:txBody>
    </xdr:sp>
    <xdr:clientData/>
  </xdr:twoCellAnchor>
  <xdr:twoCellAnchor editAs="oneCell">
    <xdr:from>
      <xdr:col>5</xdr:col>
      <xdr:colOff>95250</xdr:colOff>
      <xdr:row>51</xdr:row>
      <xdr:rowOff>5080</xdr:rowOff>
    </xdr:from>
    <xdr:to>
      <xdr:col>6</xdr:col>
      <xdr:colOff>0</xdr:colOff>
      <xdr:row>52</xdr:row>
      <xdr:rowOff>134620</xdr:rowOff>
    </xdr:to>
    <xdr:sp macro="AbrirFiltrosBI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9042E6EE-8385-D052-F138-624B478A5F51}"/>
            </a:ext>
          </a:extLst>
        </xdr:cNvPr>
        <xdr:cNvSpPr/>
      </xdr:nvSpPr>
      <xdr:spPr>
        <a:xfrm>
          <a:off x="4827270" y="11671300"/>
          <a:ext cx="86487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FFFFFF"/>
              </a:solidFill>
              <a:latin typeface="Calibri" panose="020F0502020204030204" pitchFamily="34" charset="0"/>
            </a:rPr>
            <a:t>Filtros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03731FF0-E41E-EC36-0277-FEC38A169A89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6</xdr:row>
      <xdr:rowOff>411480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5CC71276-2620-B511-EA9F-4AD2C643EEF1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7</xdr:row>
      <xdr:rowOff>60960</xdr:rowOff>
    </xdr:from>
    <xdr:to>
      <xdr:col>0</xdr:col>
      <xdr:colOff>1607820</xdr:colOff>
      <xdr:row>8</xdr:row>
      <xdr:rowOff>213360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FD3939E3-39B7-D18B-E7AC-754778946B58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60960</xdr:rowOff>
    </xdr:from>
    <xdr:to>
      <xdr:col>0</xdr:col>
      <xdr:colOff>1607820</xdr:colOff>
      <xdr:row>10</xdr:row>
      <xdr:rowOff>213360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63D2C845-2547-E2F9-8A78-0FF8010C9D3E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60960</xdr:rowOff>
    </xdr:from>
    <xdr:to>
      <xdr:col>0</xdr:col>
      <xdr:colOff>1607820</xdr:colOff>
      <xdr:row>12</xdr:row>
      <xdr:rowOff>213360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15486312-0994-C79F-7631-0D4CBF17DF1E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60960</xdr:rowOff>
    </xdr:from>
    <xdr:to>
      <xdr:col>0</xdr:col>
      <xdr:colOff>1607820</xdr:colOff>
      <xdr:row>14</xdr:row>
      <xdr:rowOff>213360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8A71654F-3005-87EB-4C95-7AB545735864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60960</xdr:rowOff>
    </xdr:from>
    <xdr:to>
      <xdr:col>0</xdr:col>
      <xdr:colOff>1607820</xdr:colOff>
      <xdr:row>16</xdr:row>
      <xdr:rowOff>213360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63058408-2743-FC66-5B17-4DAA80E49B5A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60960</xdr:rowOff>
    </xdr:from>
    <xdr:to>
      <xdr:col>0</xdr:col>
      <xdr:colOff>1607820</xdr:colOff>
      <xdr:row>18</xdr:row>
      <xdr:rowOff>213360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393236C1-25BB-C7C3-0C0C-1DFD196BF232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60960</xdr:rowOff>
    </xdr:from>
    <xdr:to>
      <xdr:col>0</xdr:col>
      <xdr:colOff>1607820</xdr:colOff>
      <xdr:row>20</xdr:row>
      <xdr:rowOff>213360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F117E6AC-66EF-BBC3-CB84-51E3CE98A12C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60960</xdr:rowOff>
    </xdr:from>
    <xdr:to>
      <xdr:col>0</xdr:col>
      <xdr:colOff>1607820</xdr:colOff>
      <xdr:row>22</xdr:row>
      <xdr:rowOff>213360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5E0870E2-69B7-37B1-F01D-C5877B0A6433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23</xdr:row>
      <xdr:rowOff>60960</xdr:rowOff>
    </xdr:from>
    <xdr:to>
      <xdr:col>0</xdr:col>
      <xdr:colOff>1607820</xdr:colOff>
      <xdr:row>24</xdr:row>
      <xdr:rowOff>213360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239221A9-AA42-2827-936C-DF29B0095842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289560</xdr:rowOff>
    </xdr:from>
    <xdr:to>
      <xdr:col>0</xdr:col>
      <xdr:colOff>1607820</xdr:colOff>
      <xdr:row>26</xdr:row>
      <xdr:rowOff>60960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D517E6FB-92CC-84CE-DB2A-4A08875EF38F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137160</xdr:rowOff>
    </xdr:from>
    <xdr:to>
      <xdr:col>0</xdr:col>
      <xdr:colOff>1607820</xdr:colOff>
      <xdr:row>27</xdr:row>
      <xdr:rowOff>213360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1CEF4BC4-D5E7-F8AE-D33B-44A8616619AB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27</xdr:row>
      <xdr:rowOff>289560</xdr:rowOff>
    </xdr:from>
    <xdr:to>
      <xdr:col>0</xdr:col>
      <xdr:colOff>1607820</xdr:colOff>
      <xdr:row>29</xdr:row>
      <xdr:rowOff>60960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35C5B258-7B64-7DD5-F331-B8383583A249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137160</xdr:rowOff>
    </xdr:from>
    <xdr:to>
      <xdr:col>0</xdr:col>
      <xdr:colOff>1607820</xdr:colOff>
      <xdr:row>31</xdr:row>
      <xdr:rowOff>30480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AAE697E5-FF85-E800-2C74-829321059CBD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106680</xdr:rowOff>
    </xdr:from>
    <xdr:to>
      <xdr:col>0</xdr:col>
      <xdr:colOff>1607820</xdr:colOff>
      <xdr:row>33</xdr:row>
      <xdr:rowOff>121920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9592373F-E43E-0E31-23F7-8CCEA19FE7DE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15240</xdr:rowOff>
    </xdr:from>
    <xdr:to>
      <xdr:col>0</xdr:col>
      <xdr:colOff>1607820</xdr:colOff>
      <xdr:row>36</xdr:row>
      <xdr:rowOff>30480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DE8F6E4B-FE09-3D57-B4BC-8B6E21F54780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36</xdr:row>
      <xdr:rowOff>106680</xdr:rowOff>
    </xdr:from>
    <xdr:to>
      <xdr:col>0</xdr:col>
      <xdr:colOff>1607820</xdr:colOff>
      <xdr:row>38</xdr:row>
      <xdr:rowOff>121920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3E6A0DC3-AADD-8EE5-689F-1B450DAAF4B2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39</xdr:row>
      <xdr:rowOff>15240</xdr:rowOff>
    </xdr:from>
    <xdr:to>
      <xdr:col>0</xdr:col>
      <xdr:colOff>1607820</xdr:colOff>
      <xdr:row>41</xdr:row>
      <xdr:rowOff>30480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A5071E03-5D95-FDE2-3F86-3E11B5041141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41</xdr:row>
      <xdr:rowOff>106680</xdr:rowOff>
    </xdr:from>
    <xdr:to>
      <xdr:col>0</xdr:col>
      <xdr:colOff>1607820</xdr:colOff>
      <xdr:row>43</xdr:row>
      <xdr:rowOff>121920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6778C825-DD6F-4DE3-20EA-B1A9EBE72DF8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44</xdr:row>
      <xdr:rowOff>142240</xdr:rowOff>
    </xdr:from>
    <xdr:to>
      <xdr:col>0</xdr:col>
      <xdr:colOff>1607820</xdr:colOff>
      <xdr:row>46</xdr:row>
      <xdr:rowOff>157480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F1FB84FB-2C4F-96DC-6D14-955AD5B1DB45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1378373</xdr:colOff>
      <xdr:row>27</xdr:row>
      <xdr:rowOff>76200</xdr:rowOff>
    </xdr:to>
    <xdr:sp macro="AbrirFrmAlun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F791C02-3535-5B2D-14D5-3F78A476B743}"/>
            </a:ext>
          </a:extLst>
        </xdr:cNvPr>
        <xdr:cNvSpPr/>
      </xdr:nvSpPr>
      <xdr:spPr>
        <a:xfrm>
          <a:off x="1851660" y="6393180"/>
          <a:ext cx="1378373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+ Novo</a:t>
          </a:r>
        </a:p>
      </xdr:txBody>
    </xdr:sp>
    <xdr:clientData/>
  </xdr:twoCellAnchor>
  <xdr:twoCellAnchor editAs="oneCell">
    <xdr:from>
      <xdr:col>2</xdr:col>
      <xdr:colOff>1505373</xdr:colOff>
      <xdr:row>26</xdr:row>
      <xdr:rowOff>0</xdr:rowOff>
    </xdr:from>
    <xdr:to>
      <xdr:col>3</xdr:col>
      <xdr:colOff>1374987</xdr:colOff>
      <xdr:row>27</xdr:row>
      <xdr:rowOff>76200</xdr:rowOff>
    </xdr:to>
    <xdr:sp macro="SalvarAlun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CA595524-A092-28F0-0AFC-01E96C8375F2}"/>
            </a:ext>
          </a:extLst>
        </xdr:cNvPr>
        <xdr:cNvSpPr/>
      </xdr:nvSpPr>
      <xdr:spPr>
        <a:xfrm>
          <a:off x="3357033" y="6393180"/>
          <a:ext cx="1378374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Salvar</a:t>
          </a:r>
        </a:p>
      </xdr:txBody>
    </xdr:sp>
    <xdr:clientData/>
  </xdr:twoCellAnchor>
  <xdr:twoCellAnchor editAs="oneCell">
    <xdr:from>
      <xdr:col>3</xdr:col>
      <xdr:colOff>1501987</xdr:colOff>
      <xdr:row>26</xdr:row>
      <xdr:rowOff>0</xdr:rowOff>
    </xdr:from>
    <xdr:to>
      <xdr:col>5</xdr:col>
      <xdr:colOff>0</xdr:colOff>
      <xdr:row>27</xdr:row>
      <xdr:rowOff>76200</xdr:rowOff>
    </xdr:to>
    <xdr:sp macro="EditarAluno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5CFC5B52-201A-E36A-0D82-27CD650F420E}"/>
            </a:ext>
          </a:extLst>
        </xdr:cNvPr>
        <xdr:cNvSpPr/>
      </xdr:nvSpPr>
      <xdr:spPr>
        <a:xfrm>
          <a:off x="4862407" y="6393180"/>
          <a:ext cx="1378373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Editar</a:t>
          </a:r>
        </a:p>
      </xdr:txBody>
    </xdr:sp>
    <xdr:clientData/>
  </xdr:twoCellAnchor>
  <xdr:twoCellAnchor editAs="oneCell">
    <xdr:from>
      <xdr:col>2</xdr:col>
      <xdr:colOff>0</xdr:colOff>
      <xdr:row>27</xdr:row>
      <xdr:rowOff>203200</xdr:rowOff>
    </xdr:from>
    <xdr:to>
      <xdr:col>2</xdr:col>
      <xdr:colOff>1378373</xdr:colOff>
      <xdr:row>28</xdr:row>
      <xdr:rowOff>279400</xdr:rowOff>
    </xdr:to>
    <xdr:sp macro="ExcluirAlun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78CE143F-544E-B3DD-54EC-ADBD6A2DB80B}"/>
            </a:ext>
          </a:extLst>
        </xdr:cNvPr>
        <xdr:cNvSpPr/>
      </xdr:nvSpPr>
      <xdr:spPr>
        <a:xfrm>
          <a:off x="1851660" y="6901180"/>
          <a:ext cx="1378373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FFFFFF"/>
              </a:solidFill>
              <a:latin typeface="Calibri" panose="020F0502020204030204" pitchFamily="34" charset="0"/>
            </a:rPr>
            <a:t>Excluir</a:t>
          </a:r>
        </a:p>
      </xdr:txBody>
    </xdr:sp>
    <xdr:clientData/>
  </xdr:twoCellAnchor>
  <xdr:twoCellAnchor editAs="oneCell">
    <xdr:from>
      <xdr:col>2</xdr:col>
      <xdr:colOff>1505373</xdr:colOff>
      <xdr:row>27</xdr:row>
      <xdr:rowOff>203200</xdr:rowOff>
    </xdr:from>
    <xdr:to>
      <xdr:col>3</xdr:col>
      <xdr:colOff>1374987</xdr:colOff>
      <xdr:row>28</xdr:row>
      <xdr:rowOff>279400</xdr:rowOff>
    </xdr:to>
    <xdr:sp macro="LimparFormAluno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9286CFA4-3E47-8601-9C0D-748077A3F81A}"/>
            </a:ext>
          </a:extLst>
        </xdr:cNvPr>
        <xdr:cNvSpPr/>
      </xdr:nvSpPr>
      <xdr:spPr>
        <a:xfrm>
          <a:off x="3357033" y="6901180"/>
          <a:ext cx="1378374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Cancelar</a:t>
          </a:r>
        </a:p>
      </xdr:txBody>
    </xdr:sp>
    <xdr:clientData/>
  </xdr:twoCellAnchor>
  <xdr:twoCellAnchor editAs="oneCell">
    <xdr:from>
      <xdr:col>3</xdr:col>
      <xdr:colOff>1501987</xdr:colOff>
      <xdr:row>27</xdr:row>
      <xdr:rowOff>203200</xdr:rowOff>
    </xdr:from>
    <xdr:to>
      <xdr:col>5</xdr:col>
      <xdr:colOff>0</xdr:colOff>
      <xdr:row>28</xdr:row>
      <xdr:rowOff>279400</xdr:rowOff>
    </xdr:to>
    <xdr:sp macro="IrAlunos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2B02C521-4615-A8C8-74D1-F836B53D1D52}"/>
            </a:ext>
          </a:extLst>
        </xdr:cNvPr>
        <xdr:cNvSpPr/>
      </xdr:nvSpPr>
      <xdr:spPr>
        <a:xfrm>
          <a:off x="4862407" y="6901180"/>
          <a:ext cx="1378373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Pesquisar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25400</xdr:rowOff>
    </xdr:from>
    <xdr:to>
      <xdr:col>8</xdr:col>
      <xdr:colOff>1003300</xdr:colOff>
      <xdr:row>0</xdr:row>
      <xdr:rowOff>304800</xdr:rowOff>
    </xdr:to>
    <xdr:sp macro="IrHome" textlink="">
      <xdr:nvSpPr>
        <xdr:cNvPr id="2" name="mnuDataHome">
          <a:extLst>
            <a:ext uri="{FF2B5EF4-FFF2-40B4-BE49-F238E27FC236}">
              <a16:creationId xmlns:a16="http://schemas.microsoft.com/office/drawing/2014/main" id="{BF5B5DD1-7AD9-B5D4-92C8-30FD028C6ABA}"/>
            </a:ext>
          </a:extLst>
        </xdr:cNvPr>
        <xdr:cNvSpPr/>
      </xdr:nvSpPr>
      <xdr:spPr>
        <a:xfrm>
          <a:off x="7226300" y="25400"/>
          <a:ext cx="977900" cy="2794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🏠 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25400</xdr:rowOff>
    </xdr:from>
    <xdr:to>
      <xdr:col>8</xdr:col>
      <xdr:colOff>797560</xdr:colOff>
      <xdr:row>0</xdr:row>
      <xdr:rowOff>304800</xdr:rowOff>
    </xdr:to>
    <xdr:sp macro="IrHome" textlink="">
      <xdr:nvSpPr>
        <xdr:cNvPr id="2" name="mnuDataHome">
          <a:extLst>
            <a:ext uri="{FF2B5EF4-FFF2-40B4-BE49-F238E27FC236}">
              <a16:creationId xmlns:a16="http://schemas.microsoft.com/office/drawing/2014/main" id="{1B55A851-D1A0-AB3E-12FC-D76084EC6325}"/>
            </a:ext>
          </a:extLst>
        </xdr:cNvPr>
        <xdr:cNvSpPr/>
      </xdr:nvSpPr>
      <xdr:spPr>
        <a:xfrm>
          <a:off x="7569200" y="25400"/>
          <a:ext cx="772160" cy="2794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🏠 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1</xdr:col>
      <xdr:colOff>502920</xdr:colOff>
      <xdr:row>6</xdr:row>
      <xdr:rowOff>147320</xdr:rowOff>
    </xdr:to>
    <xdr:sp macro="Abrir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4E1A057-1602-EFDD-7653-7682C872C8B7}"/>
            </a:ext>
          </a:extLst>
        </xdr:cNvPr>
        <xdr:cNvSpPr/>
      </xdr:nvSpPr>
      <xdr:spPr>
        <a:xfrm>
          <a:off x="0" y="1234440"/>
          <a:ext cx="914400" cy="3302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Receber</a:t>
          </a:r>
        </a:p>
      </xdr:txBody>
    </xdr:sp>
    <xdr:clientData/>
  </xdr:twoCellAnchor>
  <xdr:twoCellAnchor editAs="oneCell">
    <xdr:from>
      <xdr:col>1</xdr:col>
      <xdr:colOff>553720</xdr:colOff>
      <xdr:row>5</xdr:row>
      <xdr:rowOff>0</xdr:rowOff>
    </xdr:from>
    <xdr:to>
      <xdr:col>1</xdr:col>
      <xdr:colOff>1468120</xdr:colOff>
      <xdr:row>6</xdr:row>
      <xdr:rowOff>147320</xdr:rowOff>
    </xdr:to>
    <xdr:sp macro="EstornarContaSeleciona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65E21C0-ADE3-C5CB-C213-A14849C7A821}"/>
            </a:ext>
          </a:extLst>
        </xdr:cNvPr>
        <xdr:cNvSpPr/>
      </xdr:nvSpPr>
      <xdr:spPr>
        <a:xfrm>
          <a:off x="965200" y="1234440"/>
          <a:ext cx="914400" cy="3302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FFFFFF"/>
              </a:solidFill>
              <a:latin typeface="Calibri" panose="020F0502020204030204" pitchFamily="34" charset="0"/>
            </a:rPr>
            <a:t>Estornar</a:t>
          </a:r>
        </a:p>
      </xdr:txBody>
    </xdr:sp>
    <xdr:clientData/>
  </xdr:twoCellAnchor>
  <xdr:twoCellAnchor editAs="oneCell">
    <xdr:from>
      <xdr:col>2</xdr:col>
      <xdr:colOff>10160</xdr:colOff>
      <xdr:row>5</xdr:row>
      <xdr:rowOff>0</xdr:rowOff>
    </xdr:from>
    <xdr:to>
      <xdr:col>2</xdr:col>
      <xdr:colOff>924560</xdr:colOff>
      <xdr:row>6</xdr:row>
      <xdr:rowOff>147320</xdr:rowOff>
    </xdr:to>
    <xdr:sp macro="CancelarContaSeleciona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FA4CF54-EC87-56F3-2D55-885B813359FD}"/>
            </a:ext>
          </a:extLst>
        </xdr:cNvPr>
        <xdr:cNvSpPr/>
      </xdr:nvSpPr>
      <xdr:spPr>
        <a:xfrm>
          <a:off x="1930400" y="1234440"/>
          <a:ext cx="914400" cy="3302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FFFFFF"/>
              </a:solidFill>
              <a:latin typeface="Calibri" panose="020F0502020204030204" pitchFamily="34" charset="0"/>
            </a:rPr>
            <a:t>Cancelar</a:t>
          </a:r>
        </a:p>
      </xdr:txBody>
    </xdr:sp>
    <xdr:clientData/>
  </xdr:twoCellAnchor>
  <xdr:twoCellAnchor editAs="oneCell">
    <xdr:from>
      <xdr:col>3</xdr:col>
      <xdr:colOff>15240</xdr:colOff>
      <xdr:row>5</xdr:row>
      <xdr:rowOff>0</xdr:rowOff>
    </xdr:from>
    <xdr:to>
      <xdr:col>4</xdr:col>
      <xdr:colOff>106680</xdr:colOff>
      <xdr:row>6</xdr:row>
      <xdr:rowOff>147320</xdr:rowOff>
    </xdr:to>
    <xdr:sp macro="PesquisarFinanceir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CE4E58-2465-B0EF-957C-84D5AFBEE1DC}"/>
            </a:ext>
          </a:extLst>
        </xdr:cNvPr>
        <xdr:cNvSpPr/>
      </xdr:nvSpPr>
      <xdr:spPr>
        <a:xfrm>
          <a:off x="2895600" y="1234440"/>
          <a:ext cx="914400" cy="3302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Pesquisar</a:t>
          </a:r>
        </a:p>
      </xdr:txBody>
    </xdr:sp>
    <xdr:clientData/>
  </xdr:twoCellAnchor>
  <xdr:twoCellAnchor editAs="oneCell">
    <xdr:from>
      <xdr:col>4</xdr:col>
      <xdr:colOff>157480</xdr:colOff>
      <xdr:row>5</xdr:row>
      <xdr:rowOff>0</xdr:rowOff>
    </xdr:from>
    <xdr:to>
      <xdr:col>5</xdr:col>
      <xdr:colOff>248920</xdr:colOff>
      <xdr:row>6</xdr:row>
      <xdr:rowOff>147320</xdr:rowOff>
    </xdr:to>
    <xdr:sp macro="NovaDespesaRapi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77079C5-F831-5ADA-C78D-C9D586021F15}"/>
            </a:ext>
          </a:extLst>
        </xdr:cNvPr>
        <xdr:cNvSpPr/>
      </xdr:nvSpPr>
      <xdr:spPr>
        <a:xfrm>
          <a:off x="3860800" y="1234440"/>
          <a:ext cx="914400" cy="3302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Despesa</a:t>
          </a:r>
        </a:p>
      </xdr:txBody>
    </xdr:sp>
    <xdr:clientData/>
  </xdr:twoCellAnchor>
  <xdr:twoCellAnchor editAs="oneCell">
    <xdr:from>
      <xdr:col>5</xdr:col>
      <xdr:colOff>299720</xdr:colOff>
      <xdr:row>5</xdr:row>
      <xdr:rowOff>0</xdr:rowOff>
    </xdr:from>
    <xdr:to>
      <xdr:col>6</xdr:col>
      <xdr:colOff>391160</xdr:colOff>
      <xdr:row>6</xdr:row>
      <xdr:rowOff>147320</xdr:rowOff>
    </xdr:to>
    <xdr:sp macro="GerarDRE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C4111F83-5227-60FB-2ECB-783161C2433C}"/>
            </a:ext>
          </a:extLst>
        </xdr:cNvPr>
        <xdr:cNvSpPr/>
      </xdr:nvSpPr>
      <xdr:spPr>
        <a:xfrm>
          <a:off x="4826000" y="1234440"/>
          <a:ext cx="914400" cy="3302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DRE</a:t>
          </a:r>
        </a:p>
      </xdr:txBody>
    </xdr:sp>
    <xdr:clientData/>
  </xdr:twoCellAnchor>
  <xdr:twoCellAnchor editAs="oneCell">
    <xdr:from>
      <xdr:col>6</xdr:col>
      <xdr:colOff>441960</xdr:colOff>
      <xdr:row>5</xdr:row>
      <xdr:rowOff>0</xdr:rowOff>
    </xdr:from>
    <xdr:to>
      <xdr:col>7</xdr:col>
      <xdr:colOff>533400</xdr:colOff>
      <xdr:row>6</xdr:row>
      <xdr:rowOff>147320</xdr:rowOff>
    </xdr:to>
    <xdr:sp macro="IrFlux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1133ACBE-D7E7-957F-37F7-960248C91FE3}"/>
            </a:ext>
          </a:extLst>
        </xdr:cNvPr>
        <xdr:cNvSpPr/>
      </xdr:nvSpPr>
      <xdr:spPr>
        <a:xfrm>
          <a:off x="5791200" y="1234440"/>
          <a:ext cx="914400" cy="3302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Fluxo</a:t>
          </a:r>
        </a:p>
      </xdr:txBody>
    </xdr:sp>
    <xdr:clientData/>
  </xdr:twoCellAnchor>
  <xdr:twoCellAnchor editAs="oneCell">
    <xdr:from>
      <xdr:col>7</xdr:col>
      <xdr:colOff>584200</xdr:colOff>
      <xdr:row>5</xdr:row>
      <xdr:rowOff>0</xdr:rowOff>
    </xdr:from>
    <xdr:to>
      <xdr:col>8</xdr:col>
      <xdr:colOff>538480</xdr:colOff>
      <xdr:row>6</xdr:row>
      <xdr:rowOff>147320</xdr:rowOff>
    </xdr:to>
    <xdr:sp macro="IrDashFinanceir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93B14904-03C3-0DF0-3726-6071214C4013}"/>
            </a:ext>
          </a:extLst>
        </xdr:cNvPr>
        <xdr:cNvSpPr/>
      </xdr:nvSpPr>
      <xdr:spPr>
        <a:xfrm>
          <a:off x="6756400" y="1234440"/>
          <a:ext cx="914400" cy="3302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Dashboard</a:t>
          </a:r>
        </a:p>
      </xdr:txBody>
    </xdr:sp>
    <xdr:clientData/>
  </xdr:twoCellAnchor>
  <xdr:twoCellAnchor editAs="oneCell">
    <xdr:from>
      <xdr:col>8</xdr:col>
      <xdr:colOff>589280</xdr:colOff>
      <xdr:row>5</xdr:row>
      <xdr:rowOff>0</xdr:rowOff>
    </xdr:from>
    <xdr:to>
      <xdr:col>9</xdr:col>
      <xdr:colOff>817880</xdr:colOff>
      <xdr:row>6</xdr:row>
      <xdr:rowOff>147320</xdr:rowOff>
    </xdr:to>
    <xdr:sp macro="PdfFinanceir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A0AD120-1F3D-50A2-A261-64EAAFA4F6A3}"/>
            </a:ext>
          </a:extLst>
        </xdr:cNvPr>
        <xdr:cNvSpPr/>
      </xdr:nvSpPr>
      <xdr:spPr>
        <a:xfrm>
          <a:off x="7721600" y="1234440"/>
          <a:ext cx="914400" cy="3302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PDF</a:t>
          </a:r>
        </a:p>
      </xdr:txBody>
    </xdr:sp>
    <xdr:clientData/>
  </xdr:twoCellAnchor>
  <xdr:twoCellAnchor editAs="oneCell">
    <xdr:from>
      <xdr:col>10</xdr:col>
      <xdr:colOff>45720</xdr:colOff>
      <xdr:row>5</xdr:row>
      <xdr:rowOff>0</xdr:rowOff>
    </xdr:from>
    <xdr:to>
      <xdr:col>11</xdr:col>
      <xdr:colOff>350520</xdr:colOff>
      <xdr:row>6</xdr:row>
      <xdr:rowOff>147320</xdr:rowOff>
    </xdr:to>
    <xdr:sp macro="ExportarFinanceiroExcel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206B3679-25B3-8761-06EA-1FAAD8304FE7}"/>
            </a:ext>
          </a:extLst>
        </xdr:cNvPr>
        <xdr:cNvSpPr/>
      </xdr:nvSpPr>
      <xdr:spPr>
        <a:xfrm>
          <a:off x="8686800" y="1234440"/>
          <a:ext cx="914400" cy="3302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Excel</a:t>
          </a:r>
        </a:p>
      </xdr:txBody>
    </xdr:sp>
    <xdr:clientData/>
  </xdr:twoCellAnchor>
  <xdr:twoCellAnchor editAs="oneCell">
    <xdr:from>
      <xdr:col>8</xdr:col>
      <xdr:colOff>25400</xdr:colOff>
      <xdr:row>0</xdr:row>
      <xdr:rowOff>25400</xdr:rowOff>
    </xdr:from>
    <xdr:to>
      <xdr:col>8</xdr:col>
      <xdr:colOff>660400</xdr:colOff>
      <xdr:row>0</xdr:row>
      <xdr:rowOff>304800</xdr:rowOff>
    </xdr:to>
    <xdr:sp macro="IrHome" textlink="">
      <xdr:nvSpPr>
        <xdr:cNvPr id="12" name="mnuDataHome">
          <a:extLst>
            <a:ext uri="{FF2B5EF4-FFF2-40B4-BE49-F238E27FC236}">
              <a16:creationId xmlns:a16="http://schemas.microsoft.com/office/drawing/2014/main" id="{3F67F3D5-8AB6-D0FE-6A93-F1309B563812}"/>
            </a:ext>
          </a:extLst>
        </xdr:cNvPr>
        <xdr:cNvSpPr/>
      </xdr:nvSpPr>
      <xdr:spPr>
        <a:xfrm>
          <a:off x="7157720" y="25400"/>
          <a:ext cx="635000" cy="2794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🏠 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25400</xdr:rowOff>
    </xdr:from>
    <xdr:to>
      <xdr:col>9</xdr:col>
      <xdr:colOff>50800</xdr:colOff>
      <xdr:row>0</xdr:row>
      <xdr:rowOff>304800</xdr:rowOff>
    </xdr:to>
    <xdr:sp macro="IrHome" textlink="">
      <xdr:nvSpPr>
        <xdr:cNvPr id="2" name="mnuDataHome">
          <a:extLst>
            <a:ext uri="{FF2B5EF4-FFF2-40B4-BE49-F238E27FC236}">
              <a16:creationId xmlns:a16="http://schemas.microsoft.com/office/drawing/2014/main" id="{4AE8EE9C-37E8-0A8B-FA14-C04A8937C72C}"/>
            </a:ext>
          </a:extLst>
        </xdr:cNvPr>
        <xdr:cNvSpPr/>
      </xdr:nvSpPr>
      <xdr:spPr>
        <a:xfrm>
          <a:off x="7706360" y="25400"/>
          <a:ext cx="635000" cy="2794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🏠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25400</xdr:rowOff>
    </xdr:from>
    <xdr:to>
      <xdr:col>8</xdr:col>
      <xdr:colOff>660400</xdr:colOff>
      <xdr:row>0</xdr:row>
      <xdr:rowOff>304800</xdr:rowOff>
    </xdr:to>
    <xdr:sp macro="IrHome" textlink="">
      <xdr:nvSpPr>
        <xdr:cNvPr id="2" name="mnuDataHome">
          <a:extLst>
            <a:ext uri="{FF2B5EF4-FFF2-40B4-BE49-F238E27FC236}">
              <a16:creationId xmlns:a16="http://schemas.microsoft.com/office/drawing/2014/main" id="{84BD86B3-1B79-9EE7-DD9D-5561615ECFF1}"/>
            </a:ext>
          </a:extLst>
        </xdr:cNvPr>
        <xdr:cNvSpPr/>
      </xdr:nvSpPr>
      <xdr:spPr>
        <a:xfrm>
          <a:off x="6746240" y="25400"/>
          <a:ext cx="635000" cy="2794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🏠 Menu</a:t>
          </a:r>
        </a:p>
      </xdr:txBody>
    </xdr:sp>
    <xdr:clientData/>
  </xdr:twoCellAnchor>
  <xdr:twoCellAnchor editAs="oneCell">
    <xdr:from>
      <xdr:col>13</xdr:col>
      <xdr:colOff>0</xdr:colOff>
      <xdr:row>19</xdr:row>
      <xdr:rowOff>0</xdr:rowOff>
    </xdr:from>
    <xdr:to>
      <xdr:col>14</xdr:col>
      <xdr:colOff>76200</xdr:colOff>
      <xdr:row>21</xdr:row>
      <xdr:rowOff>15240</xdr:rowOff>
    </xdr:to>
    <xdr:sp macro="CadastrarProdu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A05AB4A-DD7F-C9D9-B6C0-ED7B39A9BF83}"/>
            </a:ext>
          </a:extLst>
        </xdr:cNvPr>
        <xdr:cNvSpPr/>
      </xdr:nvSpPr>
      <xdr:spPr>
        <a:xfrm>
          <a:off x="10622280" y="3977640"/>
          <a:ext cx="89916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+ Produto</a:t>
          </a:r>
        </a:p>
      </xdr:txBody>
    </xdr:sp>
    <xdr:clientData/>
  </xdr:twoCellAnchor>
  <xdr:twoCellAnchor editAs="oneCell">
    <xdr:from>
      <xdr:col>14</xdr:col>
      <xdr:colOff>203200</xdr:colOff>
      <xdr:row>19</xdr:row>
      <xdr:rowOff>0</xdr:rowOff>
    </xdr:from>
    <xdr:to>
      <xdr:col>14</xdr:col>
      <xdr:colOff>1102360</xdr:colOff>
      <xdr:row>21</xdr:row>
      <xdr:rowOff>15240</xdr:rowOff>
    </xdr:to>
    <xdr:sp macro="RegistrarEntra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27B50A2-E43E-2202-AA8A-E85ABA1AB334}"/>
            </a:ext>
          </a:extLst>
        </xdr:cNvPr>
        <xdr:cNvSpPr/>
      </xdr:nvSpPr>
      <xdr:spPr>
        <a:xfrm>
          <a:off x="11648440" y="3977640"/>
          <a:ext cx="89916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Entrada</a:t>
          </a:r>
        </a:p>
      </xdr:txBody>
    </xdr:sp>
    <xdr:clientData/>
  </xdr:twoCellAnchor>
  <xdr:twoCellAnchor editAs="oneCell">
    <xdr:from>
      <xdr:col>14</xdr:col>
      <xdr:colOff>1229360</xdr:colOff>
      <xdr:row>19</xdr:row>
      <xdr:rowOff>0</xdr:rowOff>
    </xdr:from>
    <xdr:to>
      <xdr:col>15</xdr:col>
      <xdr:colOff>756921</xdr:colOff>
      <xdr:row>21</xdr:row>
      <xdr:rowOff>15240</xdr:rowOff>
    </xdr:to>
    <xdr:sp macro="AtualizarEsto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843D174-4EFF-2C0F-4159-EBD1276C31D9}"/>
            </a:ext>
          </a:extLst>
        </xdr:cNvPr>
        <xdr:cNvSpPr/>
      </xdr:nvSpPr>
      <xdr:spPr>
        <a:xfrm>
          <a:off x="12674600" y="3977640"/>
          <a:ext cx="899161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15</xdr:col>
      <xdr:colOff>883921</xdr:colOff>
      <xdr:row>19</xdr:row>
      <xdr:rowOff>0</xdr:rowOff>
    </xdr:from>
    <xdr:to>
      <xdr:col>17</xdr:col>
      <xdr:colOff>1</xdr:colOff>
      <xdr:row>21</xdr:row>
      <xdr:rowOff>15240</xdr:rowOff>
    </xdr:to>
    <xdr:sp macro="Inventar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D3D7298-DBD1-6E52-058E-70A2AEF018CD}"/>
            </a:ext>
          </a:extLst>
        </xdr:cNvPr>
        <xdr:cNvSpPr/>
      </xdr:nvSpPr>
      <xdr:spPr>
        <a:xfrm>
          <a:off x="13700761" y="3977640"/>
          <a:ext cx="89916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Inventário</a:t>
          </a:r>
        </a:p>
      </xdr:txBody>
    </xdr:sp>
    <xdr:clientData/>
  </xdr:twoCellAnchor>
  <xdr:twoCellAnchor editAs="oneCell">
    <xdr:from>
      <xdr:col>13</xdr:col>
      <xdr:colOff>0</xdr:colOff>
      <xdr:row>21</xdr:row>
      <xdr:rowOff>142240</xdr:rowOff>
    </xdr:from>
    <xdr:to>
      <xdr:col>14</xdr:col>
      <xdr:colOff>76200</xdr:colOff>
      <xdr:row>23</xdr:row>
      <xdr:rowOff>157480</xdr:rowOff>
    </xdr:to>
    <xdr:sp macro="IrPDV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65451791-B3D0-C4A4-88D2-78E4E88DF600}"/>
            </a:ext>
          </a:extLst>
        </xdr:cNvPr>
        <xdr:cNvSpPr/>
      </xdr:nvSpPr>
      <xdr:spPr>
        <a:xfrm>
          <a:off x="10622280" y="4485640"/>
          <a:ext cx="89916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PDV</a:t>
          </a:r>
        </a:p>
      </xdr:txBody>
    </xdr:sp>
    <xdr:clientData/>
  </xdr:twoCellAnchor>
  <xdr:twoCellAnchor editAs="oneCell">
    <xdr:from>
      <xdr:col>14</xdr:col>
      <xdr:colOff>203200</xdr:colOff>
      <xdr:row>21</xdr:row>
      <xdr:rowOff>142240</xdr:rowOff>
    </xdr:from>
    <xdr:to>
      <xdr:col>14</xdr:col>
      <xdr:colOff>1102360</xdr:colOff>
      <xdr:row>23</xdr:row>
      <xdr:rowOff>157480</xdr:rowOff>
    </xdr:to>
    <xdr:sp macro="IrDashPDV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14BAB505-D208-DA38-89FF-6542D7B456F5}"/>
            </a:ext>
          </a:extLst>
        </xdr:cNvPr>
        <xdr:cNvSpPr/>
      </xdr:nvSpPr>
      <xdr:spPr>
        <a:xfrm>
          <a:off x="11648440" y="4485640"/>
          <a:ext cx="89916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Dash PDV</a:t>
          </a:r>
        </a:p>
      </xdr:txBody>
    </xdr:sp>
    <xdr:clientData/>
  </xdr:twoCellAnchor>
  <xdr:twoCellAnchor editAs="oneCell">
    <xdr:from>
      <xdr:col>14</xdr:col>
      <xdr:colOff>1229360</xdr:colOff>
      <xdr:row>21</xdr:row>
      <xdr:rowOff>142240</xdr:rowOff>
    </xdr:from>
    <xdr:to>
      <xdr:col>15</xdr:col>
      <xdr:colOff>756921</xdr:colOff>
      <xdr:row>23</xdr:row>
      <xdr:rowOff>157480</xdr:rowOff>
    </xdr:to>
    <xdr:sp macro="CurvaABC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CD666208-9D9B-4C7F-2328-5084B7679D1E}"/>
            </a:ext>
          </a:extLst>
        </xdr:cNvPr>
        <xdr:cNvSpPr/>
      </xdr:nvSpPr>
      <xdr:spPr>
        <a:xfrm>
          <a:off x="12674600" y="4485640"/>
          <a:ext cx="899161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Curva ABC</a:t>
          </a:r>
        </a:p>
      </xdr:txBody>
    </xdr:sp>
    <xdr:clientData/>
  </xdr:twoCellAnchor>
  <xdr:twoCellAnchor editAs="oneCell">
    <xdr:from>
      <xdr:col>15</xdr:col>
      <xdr:colOff>883921</xdr:colOff>
      <xdr:row>21</xdr:row>
      <xdr:rowOff>142240</xdr:rowOff>
    </xdr:from>
    <xdr:to>
      <xdr:col>17</xdr:col>
      <xdr:colOff>1</xdr:colOff>
      <xdr:row>23</xdr:row>
      <xdr:rowOff>157480</xdr:rowOff>
    </xdr:to>
    <xdr:sp macro="IrHome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19BD9C8D-D6E3-A906-2A0A-1C1F405CB3F6}"/>
            </a:ext>
          </a:extLst>
        </xdr:cNvPr>
        <xdr:cNvSpPr/>
      </xdr:nvSpPr>
      <xdr:spPr>
        <a:xfrm>
          <a:off x="13700761" y="4485640"/>
          <a:ext cx="89916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9</xdr:row>
      <xdr:rowOff>0</xdr:rowOff>
    </xdr:from>
    <xdr:ext cx="540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24</xdr:row>
      <xdr:rowOff>0</xdr:rowOff>
    </xdr:from>
    <xdr:ext cx="504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3" name="mnuHome">
          <a:extLst>
            <a:ext uri="{FF2B5EF4-FFF2-40B4-BE49-F238E27FC236}">
              <a16:creationId xmlns:a16="http://schemas.microsoft.com/office/drawing/2014/main" id="{FBB13B84-FC01-7C88-487C-7994B35F3767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4" name="mnuMaster">
          <a:extLst>
            <a:ext uri="{FF2B5EF4-FFF2-40B4-BE49-F238E27FC236}">
              <a16:creationId xmlns:a16="http://schemas.microsoft.com/office/drawing/2014/main" id="{B48326F3-7DAE-8282-D2B2-D70976418205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5" name="mnuFranquia">
          <a:extLst>
            <a:ext uri="{FF2B5EF4-FFF2-40B4-BE49-F238E27FC236}">
              <a16:creationId xmlns:a16="http://schemas.microsoft.com/office/drawing/2014/main" id="{1F19F291-055C-057A-4F8D-DF368C9F6A09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11</xdr:row>
      <xdr:rowOff>53340</xdr:rowOff>
    </xdr:to>
    <xdr:sp macro="IrUnidades" textlink="">
      <xdr:nvSpPr>
        <xdr:cNvPr id="6" name="mnuUnidades">
          <a:extLst>
            <a:ext uri="{FF2B5EF4-FFF2-40B4-BE49-F238E27FC236}">
              <a16:creationId xmlns:a16="http://schemas.microsoft.com/office/drawing/2014/main" id="{19D4C548-E2D7-6E53-9B25-519CCA050872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129540</xdr:rowOff>
    </xdr:from>
    <xdr:to>
      <xdr:col>0</xdr:col>
      <xdr:colOff>1607820</xdr:colOff>
      <xdr:row>13</xdr:row>
      <xdr:rowOff>60960</xdr:rowOff>
    </xdr:to>
    <xdr:sp macro="IrAthenaAI" textlink="">
      <xdr:nvSpPr>
        <xdr:cNvPr id="7" name="mnuAthena">
          <a:extLst>
            <a:ext uri="{FF2B5EF4-FFF2-40B4-BE49-F238E27FC236}">
              <a16:creationId xmlns:a16="http://schemas.microsoft.com/office/drawing/2014/main" id="{322ED73A-5E32-B72F-7E06-ACB4C874597A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137160</xdr:rowOff>
    </xdr:from>
    <xdr:to>
      <xdr:col>0</xdr:col>
      <xdr:colOff>1607820</xdr:colOff>
      <xdr:row>14</xdr:row>
      <xdr:rowOff>91440</xdr:rowOff>
    </xdr:to>
    <xdr:sp macro="IrBIExecutivo" textlink="">
      <xdr:nvSpPr>
        <xdr:cNvPr id="8" name="mnuBI">
          <a:extLst>
            <a:ext uri="{FF2B5EF4-FFF2-40B4-BE49-F238E27FC236}">
              <a16:creationId xmlns:a16="http://schemas.microsoft.com/office/drawing/2014/main" id="{120EC80F-A509-B7D3-1833-898F99F71350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14</xdr:row>
      <xdr:rowOff>167640</xdr:rowOff>
    </xdr:from>
    <xdr:to>
      <xdr:col>0</xdr:col>
      <xdr:colOff>1607820</xdr:colOff>
      <xdr:row>15</xdr:row>
      <xdr:rowOff>121920</xdr:rowOff>
    </xdr:to>
    <xdr:sp macro="IrDashboard" textlink="">
      <xdr:nvSpPr>
        <xdr:cNvPr id="9" name="mnuDashboard">
          <a:extLst>
            <a:ext uri="{FF2B5EF4-FFF2-40B4-BE49-F238E27FC236}">
              <a16:creationId xmlns:a16="http://schemas.microsoft.com/office/drawing/2014/main" id="{72843351-CA9B-ED04-58AA-15E443DD58E0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198120</xdr:rowOff>
    </xdr:from>
    <xdr:to>
      <xdr:col>0</xdr:col>
      <xdr:colOff>1607820</xdr:colOff>
      <xdr:row>16</xdr:row>
      <xdr:rowOff>152400</xdr:rowOff>
    </xdr:to>
    <xdr:sp macro="IrPortalAluno" textlink="">
      <xdr:nvSpPr>
        <xdr:cNvPr id="10" name="mnuPortal">
          <a:extLst>
            <a:ext uri="{FF2B5EF4-FFF2-40B4-BE49-F238E27FC236}">
              <a16:creationId xmlns:a16="http://schemas.microsoft.com/office/drawing/2014/main" id="{DA6A9B8B-9380-2B10-83A9-0CD6C4809097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228600</xdr:rowOff>
    </xdr:from>
    <xdr:to>
      <xdr:col>0</xdr:col>
      <xdr:colOff>1607820</xdr:colOff>
      <xdr:row>17</xdr:row>
      <xdr:rowOff>182880</xdr:rowOff>
    </xdr:to>
    <xdr:sp macro="IrPortalOps" textlink="">
      <xdr:nvSpPr>
        <xdr:cNvPr id="11" name="mnuPortalOps">
          <a:extLst>
            <a:ext uri="{FF2B5EF4-FFF2-40B4-BE49-F238E27FC236}">
              <a16:creationId xmlns:a16="http://schemas.microsoft.com/office/drawing/2014/main" id="{99E5C86A-395B-5EE0-83DA-C4CDAD03DE99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259080</xdr:rowOff>
    </xdr:from>
    <xdr:to>
      <xdr:col>0</xdr:col>
      <xdr:colOff>1607820</xdr:colOff>
      <xdr:row>18</xdr:row>
      <xdr:rowOff>213360</xdr:rowOff>
    </xdr:to>
    <xdr:sp macro="IrAcesso" textlink="">
      <xdr:nvSpPr>
        <xdr:cNvPr id="12" name="mnuAcesso">
          <a:extLst>
            <a:ext uri="{FF2B5EF4-FFF2-40B4-BE49-F238E27FC236}">
              <a16:creationId xmlns:a16="http://schemas.microsoft.com/office/drawing/2014/main" id="{F40CC8C0-2F72-D904-59B5-7623AB1580E0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289560</xdr:rowOff>
    </xdr:from>
    <xdr:to>
      <xdr:col>0</xdr:col>
      <xdr:colOff>1607820</xdr:colOff>
      <xdr:row>19</xdr:row>
      <xdr:rowOff>243840</xdr:rowOff>
    </xdr:to>
    <xdr:sp macro="IrPDV" textlink="">
      <xdr:nvSpPr>
        <xdr:cNvPr id="13" name="mnuPDV">
          <a:extLst>
            <a:ext uri="{FF2B5EF4-FFF2-40B4-BE49-F238E27FC236}">
              <a16:creationId xmlns:a16="http://schemas.microsoft.com/office/drawing/2014/main" id="{F2D878CA-848B-2DC3-3E93-E5E3A21A9818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320040</xdr:rowOff>
    </xdr:from>
    <xdr:to>
      <xdr:col>0</xdr:col>
      <xdr:colOff>1607820</xdr:colOff>
      <xdr:row>20</xdr:row>
      <xdr:rowOff>274320</xdr:rowOff>
    </xdr:to>
    <xdr:sp macro="IrCRM" textlink="">
      <xdr:nvSpPr>
        <xdr:cNvPr id="14" name="mnuCRM">
          <a:extLst>
            <a:ext uri="{FF2B5EF4-FFF2-40B4-BE49-F238E27FC236}">
              <a16:creationId xmlns:a16="http://schemas.microsoft.com/office/drawing/2014/main" id="{C5F3B8D9-A08E-5C64-8255-AA8FC4BB2040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350520</xdr:rowOff>
    </xdr:from>
    <xdr:to>
      <xdr:col>0</xdr:col>
      <xdr:colOff>1607820</xdr:colOff>
      <xdr:row>21</xdr:row>
      <xdr:rowOff>304800</xdr:rowOff>
    </xdr:to>
    <xdr:sp macro="IrFormAluno" textlink="">
      <xdr:nvSpPr>
        <xdr:cNvPr id="15" name="mnuAlunos">
          <a:extLst>
            <a:ext uri="{FF2B5EF4-FFF2-40B4-BE49-F238E27FC236}">
              <a16:creationId xmlns:a16="http://schemas.microsoft.com/office/drawing/2014/main" id="{24FEC30B-F81E-D3DB-BBB2-4457FB5EBCB5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381000</xdr:rowOff>
    </xdr:from>
    <xdr:to>
      <xdr:col>0</xdr:col>
      <xdr:colOff>1607820</xdr:colOff>
      <xdr:row>22</xdr:row>
      <xdr:rowOff>335280</xdr:rowOff>
    </xdr:to>
    <xdr:sp macro="IrAvaliacao" textlink="">
      <xdr:nvSpPr>
        <xdr:cNvPr id="16" name="mnuAvaliacao">
          <a:extLst>
            <a:ext uri="{FF2B5EF4-FFF2-40B4-BE49-F238E27FC236}">
              <a16:creationId xmlns:a16="http://schemas.microsoft.com/office/drawing/2014/main" id="{BA99AE13-E7D8-8F49-6DA3-F5EB966D3116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411480</xdr:rowOff>
    </xdr:from>
    <xdr:to>
      <xdr:col>0</xdr:col>
      <xdr:colOff>1607820</xdr:colOff>
      <xdr:row>25</xdr:row>
      <xdr:rowOff>0</xdr:rowOff>
    </xdr:to>
    <xdr:sp macro="IrTreinos" textlink="">
      <xdr:nvSpPr>
        <xdr:cNvPr id="17" name="mnuTreinos">
          <a:extLst>
            <a:ext uri="{FF2B5EF4-FFF2-40B4-BE49-F238E27FC236}">
              <a16:creationId xmlns:a16="http://schemas.microsoft.com/office/drawing/2014/main" id="{8DBDFB14-34FF-3945-E855-6C07F7EE5E18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25</xdr:row>
      <xdr:rowOff>76200</xdr:rowOff>
    </xdr:from>
    <xdr:to>
      <xdr:col>0</xdr:col>
      <xdr:colOff>1607820</xdr:colOff>
      <xdr:row>27</xdr:row>
      <xdr:rowOff>91440</xdr:rowOff>
    </xdr:to>
    <xdr:sp macro="IrMensalidades" textlink="">
      <xdr:nvSpPr>
        <xdr:cNvPr id="18" name="mnuMensalidades">
          <a:extLst>
            <a:ext uri="{FF2B5EF4-FFF2-40B4-BE49-F238E27FC236}">
              <a16:creationId xmlns:a16="http://schemas.microsoft.com/office/drawing/2014/main" id="{0FFCAEC5-8A92-3BA8-693D-91962FC4B0BA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27</xdr:row>
      <xdr:rowOff>167640</xdr:rowOff>
    </xdr:from>
    <xdr:to>
      <xdr:col>0</xdr:col>
      <xdr:colOff>1607820</xdr:colOff>
      <xdr:row>30</xdr:row>
      <xdr:rowOff>0</xdr:rowOff>
    </xdr:to>
    <xdr:sp macro="IrFinanceiro" textlink="">
      <xdr:nvSpPr>
        <xdr:cNvPr id="19" name="mnuFinanceiro">
          <a:extLst>
            <a:ext uri="{FF2B5EF4-FFF2-40B4-BE49-F238E27FC236}">
              <a16:creationId xmlns:a16="http://schemas.microsoft.com/office/drawing/2014/main" id="{4C1C6D0A-B24D-7C60-4BA6-377C295CCCFE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30</xdr:row>
      <xdr:rowOff>76200</xdr:rowOff>
    </xdr:from>
    <xdr:to>
      <xdr:col>0</xdr:col>
      <xdr:colOff>1607820</xdr:colOff>
      <xdr:row>32</xdr:row>
      <xdr:rowOff>91440</xdr:rowOff>
    </xdr:to>
    <xdr:sp macro="IrEstoque" textlink="">
      <xdr:nvSpPr>
        <xdr:cNvPr id="20" name="mnuEstoque">
          <a:extLst>
            <a:ext uri="{FF2B5EF4-FFF2-40B4-BE49-F238E27FC236}">
              <a16:creationId xmlns:a16="http://schemas.microsoft.com/office/drawing/2014/main" id="{C80F8E36-2A2F-BB35-C6D5-E4E81008ADBB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32</xdr:row>
      <xdr:rowOff>167640</xdr:rowOff>
    </xdr:from>
    <xdr:to>
      <xdr:col>0</xdr:col>
      <xdr:colOff>1607820</xdr:colOff>
      <xdr:row>35</xdr:row>
      <xdr:rowOff>0</xdr:rowOff>
    </xdr:to>
    <xdr:sp macro="IrRelatorios" textlink="">
      <xdr:nvSpPr>
        <xdr:cNvPr id="21" name="mnuRelatorios">
          <a:extLst>
            <a:ext uri="{FF2B5EF4-FFF2-40B4-BE49-F238E27FC236}">
              <a16:creationId xmlns:a16="http://schemas.microsoft.com/office/drawing/2014/main" id="{2454D6BD-4A4A-A352-E077-3F35B4ED9FFB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35</xdr:row>
      <xdr:rowOff>76200</xdr:rowOff>
    </xdr:from>
    <xdr:to>
      <xdr:col>0</xdr:col>
      <xdr:colOff>1607820</xdr:colOff>
      <xdr:row>37</xdr:row>
      <xdr:rowOff>91440</xdr:rowOff>
    </xdr:to>
    <xdr:sp macro="IrConfig" textlink="">
      <xdr:nvSpPr>
        <xdr:cNvPr id="22" name="mnuConfig">
          <a:extLst>
            <a:ext uri="{FF2B5EF4-FFF2-40B4-BE49-F238E27FC236}">
              <a16:creationId xmlns:a16="http://schemas.microsoft.com/office/drawing/2014/main" id="{179C70B2-192F-7E76-31EF-046B8AB6F563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38</xdr:row>
      <xdr:rowOff>111760</xdr:rowOff>
    </xdr:from>
    <xdr:to>
      <xdr:col>0</xdr:col>
      <xdr:colOff>1607820</xdr:colOff>
      <xdr:row>40</xdr:row>
      <xdr:rowOff>127000</xdr:rowOff>
    </xdr:to>
    <xdr:sp macro="SairSistema" textlink="">
      <xdr:nvSpPr>
        <xdr:cNvPr id="23" name="mnuSair">
          <a:extLst>
            <a:ext uri="{FF2B5EF4-FFF2-40B4-BE49-F238E27FC236}">
              <a16:creationId xmlns:a16="http://schemas.microsoft.com/office/drawing/2014/main" id="{E1C899C4-B671-E4E3-78AC-84F78BD10D0D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19</xdr:row>
      <xdr:rowOff>0</xdr:rowOff>
    </xdr:from>
    <xdr:ext cx="432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3" name="mnuHome">
          <a:extLst>
            <a:ext uri="{FF2B5EF4-FFF2-40B4-BE49-F238E27FC236}">
              <a16:creationId xmlns:a16="http://schemas.microsoft.com/office/drawing/2014/main" id="{1D496F09-DD9A-56B2-E7D9-9A8121E365EE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4" name="mnuMaster">
          <a:extLst>
            <a:ext uri="{FF2B5EF4-FFF2-40B4-BE49-F238E27FC236}">
              <a16:creationId xmlns:a16="http://schemas.microsoft.com/office/drawing/2014/main" id="{1BA43451-D65C-0656-F79B-B1C1125E61B9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5" name="mnuFranquia">
          <a:extLst>
            <a:ext uri="{FF2B5EF4-FFF2-40B4-BE49-F238E27FC236}">
              <a16:creationId xmlns:a16="http://schemas.microsoft.com/office/drawing/2014/main" id="{733CB8FC-D4BC-D836-D0B5-2796109DCE44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11</xdr:row>
      <xdr:rowOff>53340</xdr:rowOff>
    </xdr:to>
    <xdr:sp macro="IrUnidades" textlink="">
      <xdr:nvSpPr>
        <xdr:cNvPr id="6" name="mnuUnidades">
          <a:extLst>
            <a:ext uri="{FF2B5EF4-FFF2-40B4-BE49-F238E27FC236}">
              <a16:creationId xmlns:a16="http://schemas.microsoft.com/office/drawing/2014/main" id="{AB3519B1-E94E-62F7-02D8-161AA993B492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129540</xdr:rowOff>
    </xdr:from>
    <xdr:to>
      <xdr:col>0</xdr:col>
      <xdr:colOff>1607820</xdr:colOff>
      <xdr:row>13</xdr:row>
      <xdr:rowOff>60960</xdr:rowOff>
    </xdr:to>
    <xdr:sp macro="IrAthenaAI" textlink="">
      <xdr:nvSpPr>
        <xdr:cNvPr id="7" name="mnuAthena">
          <a:extLst>
            <a:ext uri="{FF2B5EF4-FFF2-40B4-BE49-F238E27FC236}">
              <a16:creationId xmlns:a16="http://schemas.microsoft.com/office/drawing/2014/main" id="{0B1D65E4-E986-ED28-EF1C-3540EE5BEBA9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137160</xdr:rowOff>
    </xdr:from>
    <xdr:to>
      <xdr:col>0</xdr:col>
      <xdr:colOff>1607820</xdr:colOff>
      <xdr:row>14</xdr:row>
      <xdr:rowOff>91440</xdr:rowOff>
    </xdr:to>
    <xdr:sp macro="IrBIExecutivo" textlink="">
      <xdr:nvSpPr>
        <xdr:cNvPr id="8" name="mnuBI">
          <a:extLst>
            <a:ext uri="{FF2B5EF4-FFF2-40B4-BE49-F238E27FC236}">
              <a16:creationId xmlns:a16="http://schemas.microsoft.com/office/drawing/2014/main" id="{CFF7AD74-8A3D-C6C7-EF8D-6BE4FA15B973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14</xdr:row>
      <xdr:rowOff>167640</xdr:rowOff>
    </xdr:from>
    <xdr:to>
      <xdr:col>0</xdr:col>
      <xdr:colOff>1607820</xdr:colOff>
      <xdr:row>16</xdr:row>
      <xdr:rowOff>99060</xdr:rowOff>
    </xdr:to>
    <xdr:sp macro="IrDashboard" textlink="">
      <xdr:nvSpPr>
        <xdr:cNvPr id="9" name="mnuDashboard">
          <a:extLst>
            <a:ext uri="{FF2B5EF4-FFF2-40B4-BE49-F238E27FC236}">
              <a16:creationId xmlns:a16="http://schemas.microsoft.com/office/drawing/2014/main" id="{ACB60F48-65AB-3755-99C1-C5BED77982B0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175260</xdr:rowOff>
    </xdr:from>
    <xdr:to>
      <xdr:col>0</xdr:col>
      <xdr:colOff>1607820</xdr:colOff>
      <xdr:row>17</xdr:row>
      <xdr:rowOff>358140</xdr:rowOff>
    </xdr:to>
    <xdr:sp macro="IrPortalAluno" textlink="">
      <xdr:nvSpPr>
        <xdr:cNvPr id="10" name="mnuPortal">
          <a:extLst>
            <a:ext uri="{FF2B5EF4-FFF2-40B4-BE49-F238E27FC236}">
              <a16:creationId xmlns:a16="http://schemas.microsoft.com/office/drawing/2014/main" id="{F3DCB178-869C-F7DF-E901-B114DE3A5FA7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7620</xdr:rowOff>
    </xdr:from>
    <xdr:to>
      <xdr:col>0</xdr:col>
      <xdr:colOff>1607820</xdr:colOff>
      <xdr:row>18</xdr:row>
      <xdr:rowOff>388620</xdr:rowOff>
    </xdr:to>
    <xdr:sp macro="IrPortalOps" textlink="">
      <xdr:nvSpPr>
        <xdr:cNvPr id="11" name="mnuPortalOps">
          <a:extLst>
            <a:ext uri="{FF2B5EF4-FFF2-40B4-BE49-F238E27FC236}">
              <a16:creationId xmlns:a16="http://schemas.microsoft.com/office/drawing/2014/main" id="{013D0195-E6EA-41AB-AB23-C05BB57E7765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38100</xdr:rowOff>
    </xdr:from>
    <xdr:to>
      <xdr:col>0</xdr:col>
      <xdr:colOff>1607820</xdr:colOff>
      <xdr:row>19</xdr:row>
      <xdr:rowOff>419100</xdr:rowOff>
    </xdr:to>
    <xdr:sp macro="IrAcesso" textlink="">
      <xdr:nvSpPr>
        <xdr:cNvPr id="12" name="mnuAcesso">
          <a:extLst>
            <a:ext uri="{FF2B5EF4-FFF2-40B4-BE49-F238E27FC236}">
              <a16:creationId xmlns:a16="http://schemas.microsoft.com/office/drawing/2014/main" id="{DEA84DA1-F431-FD2F-BE53-E339BEAB7195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68580</xdr:rowOff>
    </xdr:from>
    <xdr:to>
      <xdr:col>0</xdr:col>
      <xdr:colOff>1607820</xdr:colOff>
      <xdr:row>21</xdr:row>
      <xdr:rowOff>22860</xdr:rowOff>
    </xdr:to>
    <xdr:sp macro="IrPDV" textlink="">
      <xdr:nvSpPr>
        <xdr:cNvPr id="13" name="mnuPDV">
          <a:extLst>
            <a:ext uri="{FF2B5EF4-FFF2-40B4-BE49-F238E27FC236}">
              <a16:creationId xmlns:a16="http://schemas.microsoft.com/office/drawing/2014/main" id="{4B9D82A9-2742-ED41-431F-038A284ED5B5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99060</xdr:rowOff>
    </xdr:from>
    <xdr:to>
      <xdr:col>0</xdr:col>
      <xdr:colOff>1607820</xdr:colOff>
      <xdr:row>22</xdr:row>
      <xdr:rowOff>53340</xdr:rowOff>
    </xdr:to>
    <xdr:sp macro="IrCRM" textlink="">
      <xdr:nvSpPr>
        <xdr:cNvPr id="14" name="mnuCRM">
          <a:extLst>
            <a:ext uri="{FF2B5EF4-FFF2-40B4-BE49-F238E27FC236}">
              <a16:creationId xmlns:a16="http://schemas.microsoft.com/office/drawing/2014/main" id="{5D519B9E-DB36-A798-137A-E2DCDDC36A95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129540</xdr:rowOff>
    </xdr:from>
    <xdr:to>
      <xdr:col>0</xdr:col>
      <xdr:colOff>1607820</xdr:colOff>
      <xdr:row>23</xdr:row>
      <xdr:rowOff>83820</xdr:rowOff>
    </xdr:to>
    <xdr:sp macro="IrFormAluno" textlink="">
      <xdr:nvSpPr>
        <xdr:cNvPr id="15" name="mnuAlunos">
          <a:extLst>
            <a:ext uri="{FF2B5EF4-FFF2-40B4-BE49-F238E27FC236}">
              <a16:creationId xmlns:a16="http://schemas.microsoft.com/office/drawing/2014/main" id="{E9CEA7B8-8AB4-B6DF-8FDA-CED86123AD7F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23</xdr:row>
      <xdr:rowOff>160020</xdr:rowOff>
    </xdr:from>
    <xdr:to>
      <xdr:col>0</xdr:col>
      <xdr:colOff>1607820</xdr:colOff>
      <xdr:row>25</xdr:row>
      <xdr:rowOff>175260</xdr:rowOff>
    </xdr:to>
    <xdr:sp macro="IrAvaliacao" textlink="">
      <xdr:nvSpPr>
        <xdr:cNvPr id="16" name="mnuAvaliacao">
          <a:extLst>
            <a:ext uri="{FF2B5EF4-FFF2-40B4-BE49-F238E27FC236}">
              <a16:creationId xmlns:a16="http://schemas.microsoft.com/office/drawing/2014/main" id="{19CEC56E-AB08-6273-1B0E-A7AEED896A9F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68580</xdr:rowOff>
    </xdr:from>
    <xdr:to>
      <xdr:col>0</xdr:col>
      <xdr:colOff>1607820</xdr:colOff>
      <xdr:row>28</xdr:row>
      <xdr:rowOff>83820</xdr:rowOff>
    </xdr:to>
    <xdr:sp macro="IrTreinos" textlink="">
      <xdr:nvSpPr>
        <xdr:cNvPr id="17" name="mnuTreinos">
          <a:extLst>
            <a:ext uri="{FF2B5EF4-FFF2-40B4-BE49-F238E27FC236}">
              <a16:creationId xmlns:a16="http://schemas.microsoft.com/office/drawing/2014/main" id="{1F9A792C-C3FA-C0E7-AE06-316E9C0B3004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28</xdr:row>
      <xdr:rowOff>160020</xdr:rowOff>
    </xdr:from>
    <xdr:to>
      <xdr:col>0</xdr:col>
      <xdr:colOff>1607820</xdr:colOff>
      <xdr:row>30</xdr:row>
      <xdr:rowOff>175260</xdr:rowOff>
    </xdr:to>
    <xdr:sp macro="IrMensalidades" textlink="">
      <xdr:nvSpPr>
        <xdr:cNvPr id="18" name="mnuMensalidades">
          <a:extLst>
            <a:ext uri="{FF2B5EF4-FFF2-40B4-BE49-F238E27FC236}">
              <a16:creationId xmlns:a16="http://schemas.microsoft.com/office/drawing/2014/main" id="{B6E411A0-DE7C-AB11-2969-7731727E97A8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68580</xdr:rowOff>
    </xdr:from>
    <xdr:to>
      <xdr:col>0</xdr:col>
      <xdr:colOff>1607820</xdr:colOff>
      <xdr:row>33</xdr:row>
      <xdr:rowOff>83820</xdr:rowOff>
    </xdr:to>
    <xdr:sp macro="IrFinanceiro" textlink="">
      <xdr:nvSpPr>
        <xdr:cNvPr id="19" name="mnuFinanceiro">
          <a:extLst>
            <a:ext uri="{FF2B5EF4-FFF2-40B4-BE49-F238E27FC236}">
              <a16:creationId xmlns:a16="http://schemas.microsoft.com/office/drawing/2014/main" id="{2CE1B5DD-2C31-844F-0ABE-46D9446519FE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33</xdr:row>
      <xdr:rowOff>160020</xdr:rowOff>
    </xdr:from>
    <xdr:to>
      <xdr:col>0</xdr:col>
      <xdr:colOff>1607820</xdr:colOff>
      <xdr:row>35</xdr:row>
      <xdr:rowOff>175260</xdr:rowOff>
    </xdr:to>
    <xdr:sp macro="IrEstoque" textlink="">
      <xdr:nvSpPr>
        <xdr:cNvPr id="20" name="mnuEstoque">
          <a:extLst>
            <a:ext uri="{FF2B5EF4-FFF2-40B4-BE49-F238E27FC236}">
              <a16:creationId xmlns:a16="http://schemas.microsoft.com/office/drawing/2014/main" id="{2C70E739-9347-0BCD-6304-4E927601B539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36</xdr:row>
      <xdr:rowOff>68580</xdr:rowOff>
    </xdr:from>
    <xdr:to>
      <xdr:col>0</xdr:col>
      <xdr:colOff>1607820</xdr:colOff>
      <xdr:row>38</xdr:row>
      <xdr:rowOff>83820</xdr:rowOff>
    </xdr:to>
    <xdr:sp macro="IrRelatorios" textlink="">
      <xdr:nvSpPr>
        <xdr:cNvPr id="21" name="mnuRelatorios">
          <a:extLst>
            <a:ext uri="{FF2B5EF4-FFF2-40B4-BE49-F238E27FC236}">
              <a16:creationId xmlns:a16="http://schemas.microsoft.com/office/drawing/2014/main" id="{D1567538-5E85-6E8F-2B72-19E794241EA7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38</xdr:row>
      <xdr:rowOff>160020</xdr:rowOff>
    </xdr:from>
    <xdr:to>
      <xdr:col>0</xdr:col>
      <xdr:colOff>1607820</xdr:colOff>
      <xdr:row>40</xdr:row>
      <xdr:rowOff>175260</xdr:rowOff>
    </xdr:to>
    <xdr:sp macro="IrConfig" textlink="">
      <xdr:nvSpPr>
        <xdr:cNvPr id="22" name="mnuConfig">
          <a:extLst>
            <a:ext uri="{FF2B5EF4-FFF2-40B4-BE49-F238E27FC236}">
              <a16:creationId xmlns:a16="http://schemas.microsoft.com/office/drawing/2014/main" id="{3F8D56E5-4777-AE14-1CBB-D99E62B9CFED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42</xdr:row>
      <xdr:rowOff>12700</xdr:rowOff>
    </xdr:from>
    <xdr:to>
      <xdr:col>0</xdr:col>
      <xdr:colOff>1607820</xdr:colOff>
      <xdr:row>44</xdr:row>
      <xdr:rowOff>27940</xdr:rowOff>
    </xdr:to>
    <xdr:sp macro="SairSistema" textlink="">
      <xdr:nvSpPr>
        <xdr:cNvPr id="23" name="mnuSair">
          <a:extLst>
            <a:ext uri="{FF2B5EF4-FFF2-40B4-BE49-F238E27FC236}">
              <a16:creationId xmlns:a16="http://schemas.microsoft.com/office/drawing/2014/main" id="{A476CEE6-902D-0532-D8FE-102A1FD4D84D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11</xdr:row>
      <xdr:rowOff>0</xdr:rowOff>
    </xdr:from>
    <xdr:ext cx="432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3" name="mnuHome">
          <a:extLst>
            <a:ext uri="{FF2B5EF4-FFF2-40B4-BE49-F238E27FC236}">
              <a16:creationId xmlns:a16="http://schemas.microsoft.com/office/drawing/2014/main" id="{DC7593F2-DC53-D3E8-4CAC-B1D594045159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4" name="mnuMaster">
          <a:extLst>
            <a:ext uri="{FF2B5EF4-FFF2-40B4-BE49-F238E27FC236}">
              <a16:creationId xmlns:a16="http://schemas.microsoft.com/office/drawing/2014/main" id="{70971581-892F-B6D5-71C5-45A0EDFB5BCC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5" name="mnuFranquia">
          <a:extLst>
            <a:ext uri="{FF2B5EF4-FFF2-40B4-BE49-F238E27FC236}">
              <a16:creationId xmlns:a16="http://schemas.microsoft.com/office/drawing/2014/main" id="{2A1D2397-8A2A-846E-F291-A3A51847361B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6" name="mnuUnidades">
          <a:extLst>
            <a:ext uri="{FF2B5EF4-FFF2-40B4-BE49-F238E27FC236}">
              <a16:creationId xmlns:a16="http://schemas.microsoft.com/office/drawing/2014/main" id="{62C8B1CB-478F-8C28-74DC-CD569F61EEF1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7" name="mnuAthena">
          <a:extLst>
            <a:ext uri="{FF2B5EF4-FFF2-40B4-BE49-F238E27FC236}">
              <a16:creationId xmlns:a16="http://schemas.microsoft.com/office/drawing/2014/main" id="{1BB82126-0C60-12FC-BDF1-BED5099BB431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8" name="mnuBI">
          <a:extLst>
            <a:ext uri="{FF2B5EF4-FFF2-40B4-BE49-F238E27FC236}">
              <a16:creationId xmlns:a16="http://schemas.microsoft.com/office/drawing/2014/main" id="{C7E08F01-670C-71D7-CEB8-BDEA2E6E2E24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9" name="mnuDashboard">
          <a:extLst>
            <a:ext uri="{FF2B5EF4-FFF2-40B4-BE49-F238E27FC236}">
              <a16:creationId xmlns:a16="http://schemas.microsoft.com/office/drawing/2014/main" id="{6AD849A3-83AA-6328-5C08-D91C073A04FA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10" name="mnuPortal">
          <a:extLst>
            <a:ext uri="{FF2B5EF4-FFF2-40B4-BE49-F238E27FC236}">
              <a16:creationId xmlns:a16="http://schemas.microsoft.com/office/drawing/2014/main" id="{7DD76C03-D4F5-AD67-93BD-CC13A1BFC454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1" name="mnuPortalOps">
          <a:extLst>
            <a:ext uri="{FF2B5EF4-FFF2-40B4-BE49-F238E27FC236}">
              <a16:creationId xmlns:a16="http://schemas.microsoft.com/office/drawing/2014/main" id="{1C73DE6D-B07F-ACCD-B14A-BBC6B185B93C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2" name="mnuAcesso">
          <a:extLst>
            <a:ext uri="{FF2B5EF4-FFF2-40B4-BE49-F238E27FC236}">
              <a16:creationId xmlns:a16="http://schemas.microsoft.com/office/drawing/2014/main" id="{E887F05A-6A6D-DB8D-14EC-FFCCAB67AAC2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3" name="mnuPDV">
          <a:extLst>
            <a:ext uri="{FF2B5EF4-FFF2-40B4-BE49-F238E27FC236}">
              <a16:creationId xmlns:a16="http://schemas.microsoft.com/office/drawing/2014/main" id="{0C808369-671D-CB50-BA4C-EDC1B69290F6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4" name="mnuCRM">
          <a:extLst>
            <a:ext uri="{FF2B5EF4-FFF2-40B4-BE49-F238E27FC236}">
              <a16:creationId xmlns:a16="http://schemas.microsoft.com/office/drawing/2014/main" id="{6752346D-0378-EDE6-B2C7-AA472D6B70AA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5" name="mnuAlunos">
          <a:extLst>
            <a:ext uri="{FF2B5EF4-FFF2-40B4-BE49-F238E27FC236}">
              <a16:creationId xmlns:a16="http://schemas.microsoft.com/office/drawing/2014/main" id="{A215AFC2-4AF4-4440-07E0-8EC65F5621FE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6" name="mnuAvaliacao">
          <a:extLst>
            <a:ext uri="{FF2B5EF4-FFF2-40B4-BE49-F238E27FC236}">
              <a16:creationId xmlns:a16="http://schemas.microsoft.com/office/drawing/2014/main" id="{3DF596BD-52CE-9FE9-B912-7C2609DB8AD4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7" name="mnuTreinos">
          <a:extLst>
            <a:ext uri="{FF2B5EF4-FFF2-40B4-BE49-F238E27FC236}">
              <a16:creationId xmlns:a16="http://schemas.microsoft.com/office/drawing/2014/main" id="{7E7A80E5-55EE-F8B9-5AA9-8F0F8AAC219E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24</xdr:row>
      <xdr:rowOff>7620</xdr:rowOff>
    </xdr:to>
    <xdr:sp macro="IrMensalidades" textlink="">
      <xdr:nvSpPr>
        <xdr:cNvPr id="18" name="mnuMensalidades">
          <a:extLst>
            <a:ext uri="{FF2B5EF4-FFF2-40B4-BE49-F238E27FC236}">
              <a16:creationId xmlns:a16="http://schemas.microsoft.com/office/drawing/2014/main" id="{DA7A4981-A404-34AF-246F-7DB890C2501C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83820</xdr:rowOff>
    </xdr:from>
    <xdr:to>
      <xdr:col>0</xdr:col>
      <xdr:colOff>1607820</xdr:colOff>
      <xdr:row>26</xdr:row>
      <xdr:rowOff>99060</xdr:rowOff>
    </xdr:to>
    <xdr:sp macro="IrFinanceiro" textlink="">
      <xdr:nvSpPr>
        <xdr:cNvPr id="19" name="mnuFinanceiro">
          <a:extLst>
            <a:ext uri="{FF2B5EF4-FFF2-40B4-BE49-F238E27FC236}">
              <a16:creationId xmlns:a16="http://schemas.microsoft.com/office/drawing/2014/main" id="{3EEA1396-E5CE-174D-BC85-1BC43739CC54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175260</xdr:rowOff>
    </xdr:from>
    <xdr:to>
      <xdr:col>0</xdr:col>
      <xdr:colOff>1607820</xdr:colOff>
      <xdr:row>29</xdr:row>
      <xdr:rowOff>7620</xdr:rowOff>
    </xdr:to>
    <xdr:sp macro="IrEstoque" textlink="">
      <xdr:nvSpPr>
        <xdr:cNvPr id="20" name="mnuEstoque">
          <a:extLst>
            <a:ext uri="{FF2B5EF4-FFF2-40B4-BE49-F238E27FC236}">
              <a16:creationId xmlns:a16="http://schemas.microsoft.com/office/drawing/2014/main" id="{C21AC707-3853-8452-8ACB-A03B4227B53A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83820</xdr:rowOff>
    </xdr:from>
    <xdr:to>
      <xdr:col>0</xdr:col>
      <xdr:colOff>1607820</xdr:colOff>
      <xdr:row>31</xdr:row>
      <xdr:rowOff>99060</xdr:rowOff>
    </xdr:to>
    <xdr:sp macro="IrRelatorios" textlink="">
      <xdr:nvSpPr>
        <xdr:cNvPr id="21" name="mnuRelatorios">
          <a:extLst>
            <a:ext uri="{FF2B5EF4-FFF2-40B4-BE49-F238E27FC236}">
              <a16:creationId xmlns:a16="http://schemas.microsoft.com/office/drawing/2014/main" id="{9719BCF7-41DA-9652-0669-586351B08AFA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175260</xdr:rowOff>
    </xdr:from>
    <xdr:to>
      <xdr:col>0</xdr:col>
      <xdr:colOff>1607820</xdr:colOff>
      <xdr:row>34</xdr:row>
      <xdr:rowOff>7620</xdr:rowOff>
    </xdr:to>
    <xdr:sp macro="IrConfig" textlink="">
      <xdr:nvSpPr>
        <xdr:cNvPr id="22" name="mnuConfig">
          <a:extLst>
            <a:ext uri="{FF2B5EF4-FFF2-40B4-BE49-F238E27FC236}">
              <a16:creationId xmlns:a16="http://schemas.microsoft.com/office/drawing/2014/main" id="{ED587AEC-16DD-1223-C9C1-EDCD9A213731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35</xdr:row>
      <xdr:rowOff>27940</xdr:rowOff>
    </xdr:from>
    <xdr:to>
      <xdr:col>0</xdr:col>
      <xdr:colOff>1607820</xdr:colOff>
      <xdr:row>37</xdr:row>
      <xdr:rowOff>43180</xdr:rowOff>
    </xdr:to>
    <xdr:sp macro="SairSistema" textlink="">
      <xdr:nvSpPr>
        <xdr:cNvPr id="23" name="mnuSair">
          <a:extLst>
            <a:ext uri="{FF2B5EF4-FFF2-40B4-BE49-F238E27FC236}">
              <a16:creationId xmlns:a16="http://schemas.microsoft.com/office/drawing/2014/main" id="{AF94E0CA-F822-B789-E470-4FEEF0F408DD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213AD1E8-4026-10DA-6B0D-E23DCEB4EC6C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42800290-CEFE-E7EF-5F7D-C0A07483480F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F3B6E463-C7D6-CD59-C059-22DF18D0A7D5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78DAD345-F0B8-9B09-AD3E-399034B240EE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0799AAC4-DB14-F920-DE93-B543DA023011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5B112313-34DC-46FF-D3E5-FECDB01BD54A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19B7A7FA-F8E6-3385-802C-08BF0718F204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DE559462-6015-8230-4803-4BC5E9D8DD72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CA7B43F7-1B0D-B45B-3D60-85C5DD371355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1A4A458E-7706-58F1-8983-7FA5E07D6C68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33A866C3-FBC5-AA2D-519A-E2032B7D57E4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75AD52F4-F25F-6E00-0561-8CF17B0C250F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FCF60889-DC60-0A47-AB95-B934BF609D29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16396EE4-50E3-9815-9ED4-8618A954A989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64B41A10-7AF7-8565-49DE-C3F7877813B3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24</xdr:row>
      <xdr:rowOff>7620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C492623D-535E-07F5-AE82-38A7985032BB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83820</xdr:rowOff>
    </xdr:from>
    <xdr:to>
      <xdr:col>0</xdr:col>
      <xdr:colOff>1607820</xdr:colOff>
      <xdr:row>26</xdr:row>
      <xdr:rowOff>99060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23737299-5043-DED3-D477-D0385FFB9B99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175260</xdr:rowOff>
    </xdr:from>
    <xdr:to>
      <xdr:col>0</xdr:col>
      <xdr:colOff>1607820</xdr:colOff>
      <xdr:row>29</xdr:row>
      <xdr:rowOff>7620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01BFE3AE-9818-64B3-D24E-EC9E2502E3B2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83820</xdr:rowOff>
    </xdr:from>
    <xdr:to>
      <xdr:col>0</xdr:col>
      <xdr:colOff>1607820</xdr:colOff>
      <xdr:row>31</xdr:row>
      <xdr:rowOff>99060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67B887D8-45F8-C4C7-2EE2-FB621EC28A3A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175260</xdr:rowOff>
    </xdr:from>
    <xdr:to>
      <xdr:col>0</xdr:col>
      <xdr:colOff>1607820</xdr:colOff>
      <xdr:row>34</xdr:row>
      <xdr:rowOff>7620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2F6B5AEF-D0D8-699F-2278-A9FCF01BD2B2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35</xdr:row>
      <xdr:rowOff>27940</xdr:rowOff>
    </xdr:from>
    <xdr:to>
      <xdr:col>0</xdr:col>
      <xdr:colOff>1607820</xdr:colOff>
      <xdr:row>37</xdr:row>
      <xdr:rowOff>43180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1F11F435-86AD-63DE-0DB1-1E057C1968E6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49A87BF4-2161-4B2B-0F0C-952E19164BF3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0B50E391-1855-D2BB-32DD-E9518E95FB12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96901D27-907C-9591-18F2-6BFEFB72F476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A3885626-5714-3DF0-EDC1-5760BFE8DDDD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4A65A39C-A04B-EF31-E590-27A6A530D551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266E74EE-83AA-BC81-C530-9EDB001083E9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C31EF1B1-1BE3-10BC-7D85-3D7C378FC094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38D34411-8E5C-9A97-928A-29217C6B581C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F0D84277-1B6F-EB6C-57F3-1A91E7E5E18F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1361DC44-57C7-89EA-DCA5-5C91CA6CF08F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CFB4A726-D485-9053-D4F7-678D1B4F3E10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17CC7A71-1806-B1DB-F679-0D6F944E6CA0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39BAB48A-196C-A1FC-1446-EE91C0000CD0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EA3927B9-C250-8D4D-2FB8-B70FF10EEE05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BD195A27-F413-C7D9-05A6-4913F0BBE284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24</xdr:row>
      <xdr:rowOff>7620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0911201A-608D-347D-51C8-9CE28F594AF3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83820</xdr:rowOff>
    </xdr:from>
    <xdr:to>
      <xdr:col>0</xdr:col>
      <xdr:colOff>1607820</xdr:colOff>
      <xdr:row>26</xdr:row>
      <xdr:rowOff>99060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18A94942-35DD-7229-208D-2ACE5CBB8445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175260</xdr:rowOff>
    </xdr:from>
    <xdr:to>
      <xdr:col>0</xdr:col>
      <xdr:colOff>1607820</xdr:colOff>
      <xdr:row>29</xdr:row>
      <xdr:rowOff>7620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F9F2C3D5-F6EB-4D7C-1CCE-F1F5991D4D50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83820</xdr:rowOff>
    </xdr:from>
    <xdr:to>
      <xdr:col>0</xdr:col>
      <xdr:colOff>1607820</xdr:colOff>
      <xdr:row>31</xdr:row>
      <xdr:rowOff>99060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EB9892F1-1614-313D-2E2D-D09826B6C7D6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175260</xdr:rowOff>
    </xdr:from>
    <xdr:to>
      <xdr:col>0</xdr:col>
      <xdr:colOff>1607820</xdr:colOff>
      <xdr:row>34</xdr:row>
      <xdr:rowOff>7620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19D5664C-EE09-A091-0F26-E380FE35BE56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35</xdr:row>
      <xdr:rowOff>27940</xdr:rowOff>
    </xdr:from>
    <xdr:to>
      <xdr:col>0</xdr:col>
      <xdr:colOff>1607820</xdr:colOff>
      <xdr:row>37</xdr:row>
      <xdr:rowOff>43180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8F2377FA-4676-2A5D-E6E3-C20708C0D942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38</xdr:row>
      <xdr:rowOff>0</xdr:rowOff>
    </xdr:from>
    <xdr:ext cx="360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3" name="mnuHome">
          <a:extLst>
            <a:ext uri="{FF2B5EF4-FFF2-40B4-BE49-F238E27FC236}">
              <a16:creationId xmlns:a16="http://schemas.microsoft.com/office/drawing/2014/main" id="{388C1172-EB73-1D23-4E33-42BDD156314E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4" name="mnuMaster">
          <a:extLst>
            <a:ext uri="{FF2B5EF4-FFF2-40B4-BE49-F238E27FC236}">
              <a16:creationId xmlns:a16="http://schemas.microsoft.com/office/drawing/2014/main" id="{3098A222-A7DF-DCDD-545D-1E6093E25C03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5" name="mnuFranquia">
          <a:extLst>
            <a:ext uri="{FF2B5EF4-FFF2-40B4-BE49-F238E27FC236}">
              <a16:creationId xmlns:a16="http://schemas.microsoft.com/office/drawing/2014/main" id="{5BE1446C-4820-3E1F-341A-6492976F1175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6" name="mnuUnidades">
          <a:extLst>
            <a:ext uri="{FF2B5EF4-FFF2-40B4-BE49-F238E27FC236}">
              <a16:creationId xmlns:a16="http://schemas.microsoft.com/office/drawing/2014/main" id="{5D87FC4F-85DD-CAA5-FC31-A968912330B8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7" name="mnuAthena">
          <a:extLst>
            <a:ext uri="{FF2B5EF4-FFF2-40B4-BE49-F238E27FC236}">
              <a16:creationId xmlns:a16="http://schemas.microsoft.com/office/drawing/2014/main" id="{16C7C418-16E8-64EF-AFDC-484A862BBB0D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8" name="mnuBI">
          <a:extLst>
            <a:ext uri="{FF2B5EF4-FFF2-40B4-BE49-F238E27FC236}">
              <a16:creationId xmlns:a16="http://schemas.microsoft.com/office/drawing/2014/main" id="{B5250CC5-6C56-F199-B48A-FCFFE1536503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9" name="mnuDashboard">
          <a:extLst>
            <a:ext uri="{FF2B5EF4-FFF2-40B4-BE49-F238E27FC236}">
              <a16:creationId xmlns:a16="http://schemas.microsoft.com/office/drawing/2014/main" id="{2FF00ED7-EAEE-8966-9745-B745AA45C57C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10" name="mnuPortal">
          <a:extLst>
            <a:ext uri="{FF2B5EF4-FFF2-40B4-BE49-F238E27FC236}">
              <a16:creationId xmlns:a16="http://schemas.microsoft.com/office/drawing/2014/main" id="{A3B8200A-2F01-766F-3C5E-876EED15CF3C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1" name="mnuPortalOps">
          <a:extLst>
            <a:ext uri="{FF2B5EF4-FFF2-40B4-BE49-F238E27FC236}">
              <a16:creationId xmlns:a16="http://schemas.microsoft.com/office/drawing/2014/main" id="{8FDFAD2A-B6F2-EC85-C776-E93C65D1F343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2" name="mnuAcesso">
          <a:extLst>
            <a:ext uri="{FF2B5EF4-FFF2-40B4-BE49-F238E27FC236}">
              <a16:creationId xmlns:a16="http://schemas.microsoft.com/office/drawing/2014/main" id="{ED66BB88-883F-3EC3-892B-838B379BCF3D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3" name="mnuPDV">
          <a:extLst>
            <a:ext uri="{FF2B5EF4-FFF2-40B4-BE49-F238E27FC236}">
              <a16:creationId xmlns:a16="http://schemas.microsoft.com/office/drawing/2014/main" id="{D768F5D0-E439-B507-DED7-0E729F7924A4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4" name="mnuCRM">
          <a:extLst>
            <a:ext uri="{FF2B5EF4-FFF2-40B4-BE49-F238E27FC236}">
              <a16:creationId xmlns:a16="http://schemas.microsoft.com/office/drawing/2014/main" id="{A37D0CAC-00A8-37F0-0F1C-4054BE0CFC0E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5" name="mnuAlunos">
          <a:extLst>
            <a:ext uri="{FF2B5EF4-FFF2-40B4-BE49-F238E27FC236}">
              <a16:creationId xmlns:a16="http://schemas.microsoft.com/office/drawing/2014/main" id="{A7A7C386-F431-D657-1628-8294BAB5C855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6" name="mnuAvaliacao">
          <a:extLst>
            <a:ext uri="{FF2B5EF4-FFF2-40B4-BE49-F238E27FC236}">
              <a16:creationId xmlns:a16="http://schemas.microsoft.com/office/drawing/2014/main" id="{2F713B42-C082-A26E-F2DD-FE700AAEE845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7" name="mnuTreinos">
          <a:extLst>
            <a:ext uri="{FF2B5EF4-FFF2-40B4-BE49-F238E27FC236}">
              <a16:creationId xmlns:a16="http://schemas.microsoft.com/office/drawing/2014/main" id="{BFC6F1C1-A213-9720-D1DC-0219D6231BB0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24</xdr:row>
      <xdr:rowOff>7620</xdr:rowOff>
    </xdr:to>
    <xdr:sp macro="IrMensalidades" textlink="">
      <xdr:nvSpPr>
        <xdr:cNvPr id="18" name="mnuMensalidades">
          <a:extLst>
            <a:ext uri="{FF2B5EF4-FFF2-40B4-BE49-F238E27FC236}">
              <a16:creationId xmlns:a16="http://schemas.microsoft.com/office/drawing/2014/main" id="{2C3778ED-5DF6-589A-D35B-BAC0806E8F2F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83820</xdr:rowOff>
    </xdr:from>
    <xdr:to>
      <xdr:col>0</xdr:col>
      <xdr:colOff>1607820</xdr:colOff>
      <xdr:row>26</xdr:row>
      <xdr:rowOff>53340</xdr:rowOff>
    </xdr:to>
    <xdr:sp macro="IrFinanceiro" textlink="">
      <xdr:nvSpPr>
        <xdr:cNvPr id="19" name="mnuFinanceiro">
          <a:extLst>
            <a:ext uri="{FF2B5EF4-FFF2-40B4-BE49-F238E27FC236}">
              <a16:creationId xmlns:a16="http://schemas.microsoft.com/office/drawing/2014/main" id="{6C896C6B-98B7-EE24-7603-034A77894D32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129540</xdr:rowOff>
    </xdr:from>
    <xdr:to>
      <xdr:col>0</xdr:col>
      <xdr:colOff>1607820</xdr:colOff>
      <xdr:row>28</xdr:row>
      <xdr:rowOff>99060</xdr:rowOff>
    </xdr:to>
    <xdr:sp macro="IrEstoque" textlink="">
      <xdr:nvSpPr>
        <xdr:cNvPr id="20" name="mnuEstoque">
          <a:extLst>
            <a:ext uri="{FF2B5EF4-FFF2-40B4-BE49-F238E27FC236}">
              <a16:creationId xmlns:a16="http://schemas.microsoft.com/office/drawing/2014/main" id="{2DCB1403-008A-B097-CEAD-750C4D736A62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28</xdr:row>
      <xdr:rowOff>175260</xdr:rowOff>
    </xdr:from>
    <xdr:to>
      <xdr:col>0</xdr:col>
      <xdr:colOff>1607820</xdr:colOff>
      <xdr:row>30</xdr:row>
      <xdr:rowOff>144780</xdr:rowOff>
    </xdr:to>
    <xdr:sp macro="IrRelatorios" textlink="">
      <xdr:nvSpPr>
        <xdr:cNvPr id="21" name="mnuRelatorios">
          <a:extLst>
            <a:ext uri="{FF2B5EF4-FFF2-40B4-BE49-F238E27FC236}">
              <a16:creationId xmlns:a16="http://schemas.microsoft.com/office/drawing/2014/main" id="{DEAC78C1-9238-669F-6CC6-900D45ADAA78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38100</xdr:rowOff>
    </xdr:from>
    <xdr:to>
      <xdr:col>0</xdr:col>
      <xdr:colOff>1607820</xdr:colOff>
      <xdr:row>33</xdr:row>
      <xdr:rowOff>53340</xdr:rowOff>
    </xdr:to>
    <xdr:sp macro="IrConfig" textlink="">
      <xdr:nvSpPr>
        <xdr:cNvPr id="22" name="mnuConfig">
          <a:extLst>
            <a:ext uri="{FF2B5EF4-FFF2-40B4-BE49-F238E27FC236}">
              <a16:creationId xmlns:a16="http://schemas.microsoft.com/office/drawing/2014/main" id="{831E7D08-D8A7-F2DF-9AD7-44BFBFA7FDB8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73660</xdr:rowOff>
    </xdr:from>
    <xdr:to>
      <xdr:col>0</xdr:col>
      <xdr:colOff>1607820</xdr:colOff>
      <xdr:row>36</xdr:row>
      <xdr:rowOff>88900</xdr:rowOff>
    </xdr:to>
    <xdr:sp macro="SairSistema" textlink="">
      <xdr:nvSpPr>
        <xdr:cNvPr id="23" name="mnuSair">
          <a:extLst>
            <a:ext uri="{FF2B5EF4-FFF2-40B4-BE49-F238E27FC236}">
              <a16:creationId xmlns:a16="http://schemas.microsoft.com/office/drawing/2014/main" id="{9084FDF1-9EF1-05CD-B618-5761C907CB29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3</xdr:col>
      <xdr:colOff>144780</xdr:colOff>
      <xdr:row>52</xdr:row>
      <xdr:rowOff>15240</xdr:rowOff>
    </xdr:to>
    <xdr:sp macro="AtualizarAgenda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D769EA97-0E19-2993-6E19-B443DCCE3E3C}"/>
            </a:ext>
          </a:extLst>
        </xdr:cNvPr>
        <xdr:cNvSpPr/>
      </xdr:nvSpPr>
      <xdr:spPr>
        <a:xfrm>
          <a:off x="1783080" y="13213080"/>
          <a:ext cx="96774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3</xdr:col>
      <xdr:colOff>271780</xdr:colOff>
      <xdr:row>50</xdr:row>
      <xdr:rowOff>0</xdr:rowOff>
    </xdr:from>
    <xdr:to>
      <xdr:col>3</xdr:col>
      <xdr:colOff>1239520</xdr:colOff>
      <xdr:row>52</xdr:row>
      <xdr:rowOff>15240</xdr:rowOff>
    </xdr:to>
    <xdr:sp macro="NovoEventoManual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D2F2E005-1D18-6A12-EC47-5DB6C132F5D4}"/>
            </a:ext>
          </a:extLst>
        </xdr:cNvPr>
        <xdr:cNvSpPr/>
      </xdr:nvSpPr>
      <xdr:spPr>
        <a:xfrm>
          <a:off x="2877820" y="13213080"/>
          <a:ext cx="96774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+ Evento</a:t>
          </a:r>
        </a:p>
      </xdr:txBody>
    </xdr:sp>
    <xdr:clientData/>
  </xdr:twoCellAnchor>
  <xdr:twoCellAnchor editAs="oneCell">
    <xdr:from>
      <xdr:col>3</xdr:col>
      <xdr:colOff>1366520</xdr:colOff>
      <xdr:row>50</xdr:row>
      <xdr:rowOff>0</xdr:rowOff>
    </xdr:from>
    <xdr:to>
      <xdr:col>4</xdr:col>
      <xdr:colOff>825500</xdr:colOff>
      <xdr:row>52</xdr:row>
      <xdr:rowOff>15240</xdr:rowOff>
    </xdr:to>
    <xdr:sp macro="ConcluirEventoSelecionad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BEECA191-4D74-6185-D9E2-2CF59B269832}"/>
            </a:ext>
          </a:extLst>
        </xdr:cNvPr>
        <xdr:cNvSpPr/>
      </xdr:nvSpPr>
      <xdr:spPr>
        <a:xfrm>
          <a:off x="3972560" y="13213080"/>
          <a:ext cx="96774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FFFFFF"/>
              </a:solidFill>
              <a:latin typeface="Calibri" panose="020F0502020204030204" pitchFamily="34" charset="0"/>
            </a:rPr>
            <a:t>Concluir</a:t>
          </a:r>
        </a:p>
      </xdr:txBody>
    </xdr:sp>
    <xdr:clientData/>
  </xdr:twoCellAnchor>
  <xdr:twoCellAnchor editAs="oneCell">
    <xdr:from>
      <xdr:col>4</xdr:col>
      <xdr:colOff>952500</xdr:colOff>
      <xdr:row>50</xdr:row>
      <xdr:rowOff>0</xdr:rowOff>
    </xdr:from>
    <xdr:to>
      <xdr:col>6</xdr:col>
      <xdr:colOff>0</xdr:colOff>
      <xdr:row>52</xdr:row>
      <xdr:rowOff>15240</xdr:rowOff>
    </xdr:to>
    <xdr:sp macro="IrHome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799CD6A-22C0-4A42-4AD3-3E4824542AA0}"/>
            </a:ext>
          </a:extLst>
        </xdr:cNvPr>
        <xdr:cNvSpPr/>
      </xdr:nvSpPr>
      <xdr:spPr>
        <a:xfrm>
          <a:off x="5067300" y="13213080"/>
          <a:ext cx="96774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37ECAD8E-9C65-C91A-5B03-E4BCEB7F33D2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B33266B2-453B-6520-0956-C02F22B90994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A69B717E-F236-C40E-DA52-42261D3E21F8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8E96298E-F49A-753F-AC9F-71B66AD0FE9F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97E65B82-1FD5-65F2-B9CB-9B087248DEF0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39403B28-A071-D3D3-75ED-7D3D0563B739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7C8DD8B0-8854-38C7-7546-BEDE99CD780A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FED71B98-74F8-B61A-12AA-BCA72101FA3C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437CD383-E590-B7BD-E731-608763BC1C60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78686315-F6E8-32E0-B5C8-F2CC473921F8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050E5052-8283-61AA-0410-FF5F9C40E516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C64D6496-A530-7696-00E3-7195B8B86625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7822B8F1-5D96-12CB-5D48-5E8F825F4E85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22</xdr:row>
      <xdr:rowOff>99060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37917373-1198-00B3-561D-976F691A9051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175260</xdr:rowOff>
    </xdr:from>
    <xdr:to>
      <xdr:col>0</xdr:col>
      <xdr:colOff>1607820</xdr:colOff>
      <xdr:row>24</xdr:row>
      <xdr:rowOff>99060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4ABAA546-4336-B2E1-5F74-C6491250540F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175260</xdr:rowOff>
    </xdr:from>
    <xdr:to>
      <xdr:col>0</xdr:col>
      <xdr:colOff>1607820</xdr:colOff>
      <xdr:row>26</xdr:row>
      <xdr:rowOff>99060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6448633F-0D27-B14A-EE79-E402677BDFCA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175260</xdr:rowOff>
    </xdr:from>
    <xdr:to>
      <xdr:col>0</xdr:col>
      <xdr:colOff>1607820</xdr:colOff>
      <xdr:row>28</xdr:row>
      <xdr:rowOff>99060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8149F772-8E39-6BB7-04C6-260C7EB2085A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28</xdr:row>
      <xdr:rowOff>175260</xdr:rowOff>
    </xdr:from>
    <xdr:to>
      <xdr:col>0</xdr:col>
      <xdr:colOff>1607820</xdr:colOff>
      <xdr:row>30</xdr:row>
      <xdr:rowOff>99060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FDF5E1C2-B4DA-500B-2649-CB9F2861EFA5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30</xdr:row>
      <xdr:rowOff>175260</xdr:rowOff>
    </xdr:from>
    <xdr:to>
      <xdr:col>0</xdr:col>
      <xdr:colOff>1607820</xdr:colOff>
      <xdr:row>32</xdr:row>
      <xdr:rowOff>99060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B01A5037-9666-FB58-DFA0-D411054E15E0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32</xdr:row>
      <xdr:rowOff>175260</xdr:rowOff>
    </xdr:from>
    <xdr:to>
      <xdr:col>0</xdr:col>
      <xdr:colOff>1607820</xdr:colOff>
      <xdr:row>34</xdr:row>
      <xdr:rowOff>99060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ADD98A98-8A85-B432-35FB-DFD20802894B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35</xdr:row>
      <xdr:rowOff>73660</xdr:rowOff>
    </xdr:from>
    <xdr:to>
      <xdr:col>0</xdr:col>
      <xdr:colOff>1607820</xdr:colOff>
      <xdr:row>37</xdr:row>
      <xdr:rowOff>43180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EC7B34C0-F21A-E731-9293-414D86E03181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48</xdr:row>
      <xdr:rowOff>0</xdr:rowOff>
    </xdr:from>
    <xdr:to>
      <xdr:col>3</xdr:col>
      <xdr:colOff>384810</xdr:colOff>
      <xdr:row>50</xdr:row>
      <xdr:rowOff>15239</xdr:rowOff>
    </xdr:to>
    <xdr:sp macro="NovoLead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C4014EDC-9567-9986-F30E-92EBD34AA603}"/>
            </a:ext>
          </a:extLst>
        </xdr:cNvPr>
        <xdr:cNvSpPr/>
      </xdr:nvSpPr>
      <xdr:spPr>
        <a:xfrm>
          <a:off x="1783080" y="12664440"/>
          <a:ext cx="933450" cy="380999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+ Lead</a:t>
          </a:r>
        </a:p>
      </xdr:txBody>
    </xdr:sp>
    <xdr:clientData/>
  </xdr:twoCellAnchor>
  <xdr:twoCellAnchor editAs="oneCell">
    <xdr:from>
      <xdr:col>3</xdr:col>
      <xdr:colOff>511810</xdr:colOff>
      <xdr:row>48</xdr:row>
      <xdr:rowOff>0</xdr:rowOff>
    </xdr:from>
    <xdr:to>
      <xdr:col>4</xdr:col>
      <xdr:colOff>73660</xdr:colOff>
      <xdr:row>50</xdr:row>
      <xdr:rowOff>15239</xdr:rowOff>
    </xdr:to>
    <xdr:sp macro="EditarLead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28C2DF07-5E9C-FCC9-280D-6E21639CDE58}"/>
            </a:ext>
          </a:extLst>
        </xdr:cNvPr>
        <xdr:cNvSpPr/>
      </xdr:nvSpPr>
      <xdr:spPr>
        <a:xfrm>
          <a:off x="2843530" y="12664440"/>
          <a:ext cx="933450" cy="380999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Editar</a:t>
          </a:r>
        </a:p>
      </xdr:txBody>
    </xdr:sp>
    <xdr:clientData/>
  </xdr:twoCellAnchor>
  <xdr:twoCellAnchor editAs="oneCell">
    <xdr:from>
      <xdr:col>4</xdr:col>
      <xdr:colOff>200660</xdr:colOff>
      <xdr:row>48</xdr:row>
      <xdr:rowOff>0</xdr:rowOff>
    </xdr:from>
    <xdr:to>
      <xdr:col>5</xdr:col>
      <xdr:colOff>173990</xdr:colOff>
      <xdr:row>50</xdr:row>
      <xdr:rowOff>15239</xdr:rowOff>
    </xdr:to>
    <xdr:sp macro="RegistrarContato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BE279650-2AB1-BBF2-B44F-8E7BB06A6BA1}"/>
            </a:ext>
          </a:extLst>
        </xdr:cNvPr>
        <xdr:cNvSpPr/>
      </xdr:nvSpPr>
      <xdr:spPr>
        <a:xfrm>
          <a:off x="3903980" y="12664440"/>
          <a:ext cx="933450" cy="380999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Contato</a:t>
          </a:r>
        </a:p>
      </xdr:txBody>
    </xdr:sp>
    <xdr:clientData/>
  </xdr:twoCellAnchor>
  <xdr:twoCellAnchor editAs="oneCell">
    <xdr:from>
      <xdr:col>5</xdr:col>
      <xdr:colOff>300990</xdr:colOff>
      <xdr:row>48</xdr:row>
      <xdr:rowOff>0</xdr:rowOff>
    </xdr:from>
    <xdr:to>
      <xdr:col>6</xdr:col>
      <xdr:colOff>0</xdr:colOff>
      <xdr:row>50</xdr:row>
      <xdr:rowOff>15239</xdr:rowOff>
    </xdr:to>
    <xdr:sp macro="AgendarContat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9C98580A-10D4-FE36-CE12-CE5265DC7CD7}"/>
            </a:ext>
          </a:extLst>
        </xdr:cNvPr>
        <xdr:cNvSpPr/>
      </xdr:nvSpPr>
      <xdr:spPr>
        <a:xfrm>
          <a:off x="4964430" y="12664440"/>
          <a:ext cx="933450" cy="380999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Agendar</a:t>
          </a:r>
        </a:p>
      </xdr:txBody>
    </xdr:sp>
    <xdr:clientData/>
  </xdr:twoCellAnchor>
  <xdr:twoCellAnchor editAs="oneCell">
    <xdr:from>
      <xdr:col>2</xdr:col>
      <xdr:colOff>0</xdr:colOff>
      <xdr:row>50</xdr:row>
      <xdr:rowOff>142239</xdr:rowOff>
    </xdr:from>
    <xdr:to>
      <xdr:col>3</xdr:col>
      <xdr:colOff>384810</xdr:colOff>
      <xdr:row>52</xdr:row>
      <xdr:rowOff>157479</xdr:rowOff>
    </xdr:to>
    <xdr:sp macro="RegistrarAulaExperimental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BFFDEE41-5B14-751E-AF65-FFFACE463E64}"/>
            </a:ext>
          </a:extLst>
        </xdr:cNvPr>
        <xdr:cNvSpPr/>
      </xdr:nvSpPr>
      <xdr:spPr>
        <a:xfrm>
          <a:off x="1783080" y="13172439"/>
          <a:ext cx="93345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Experimental</a:t>
          </a:r>
        </a:p>
      </xdr:txBody>
    </xdr:sp>
    <xdr:clientData/>
  </xdr:twoCellAnchor>
  <xdr:twoCellAnchor editAs="oneCell">
    <xdr:from>
      <xdr:col>3</xdr:col>
      <xdr:colOff>511810</xdr:colOff>
      <xdr:row>50</xdr:row>
      <xdr:rowOff>142239</xdr:rowOff>
    </xdr:from>
    <xdr:to>
      <xdr:col>4</xdr:col>
      <xdr:colOff>73660</xdr:colOff>
      <xdr:row>52</xdr:row>
      <xdr:rowOff>157479</xdr:rowOff>
    </xdr:to>
    <xdr:sp macro="RegistrarProposta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558C24DC-1EDB-E3A5-BFAF-4F06159B993B}"/>
            </a:ext>
          </a:extLst>
        </xdr:cNvPr>
        <xdr:cNvSpPr/>
      </xdr:nvSpPr>
      <xdr:spPr>
        <a:xfrm>
          <a:off x="2843530" y="13172439"/>
          <a:ext cx="93345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Proposta</a:t>
          </a:r>
        </a:p>
      </xdr:txBody>
    </xdr:sp>
    <xdr:clientData/>
  </xdr:twoCellAnchor>
  <xdr:twoCellAnchor editAs="oneCell">
    <xdr:from>
      <xdr:col>4</xdr:col>
      <xdr:colOff>200660</xdr:colOff>
      <xdr:row>50</xdr:row>
      <xdr:rowOff>142239</xdr:rowOff>
    </xdr:from>
    <xdr:to>
      <xdr:col>5</xdr:col>
      <xdr:colOff>173990</xdr:colOff>
      <xdr:row>52</xdr:row>
      <xdr:rowOff>157479</xdr:rowOff>
    </xdr:to>
    <xdr:sp macro="ConverterLead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7AAF9D0A-73A0-CA75-5C7B-FEB0935CA806}"/>
            </a:ext>
          </a:extLst>
        </xdr:cNvPr>
        <xdr:cNvSpPr/>
      </xdr:nvSpPr>
      <xdr:spPr>
        <a:xfrm>
          <a:off x="3903980" y="13172439"/>
          <a:ext cx="93345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FFFFFF"/>
              </a:solidFill>
              <a:latin typeface="Calibri" panose="020F0502020204030204" pitchFamily="34" charset="0"/>
            </a:rPr>
            <a:t>Converter</a:t>
          </a:r>
        </a:p>
      </xdr:txBody>
    </xdr:sp>
    <xdr:clientData/>
  </xdr:twoCellAnchor>
  <xdr:twoCellAnchor editAs="oneCell">
    <xdr:from>
      <xdr:col>5</xdr:col>
      <xdr:colOff>300990</xdr:colOff>
      <xdr:row>50</xdr:row>
      <xdr:rowOff>142239</xdr:rowOff>
    </xdr:from>
    <xdr:to>
      <xdr:col>6</xdr:col>
      <xdr:colOff>0</xdr:colOff>
      <xdr:row>52</xdr:row>
      <xdr:rowOff>157479</xdr:rowOff>
    </xdr:to>
    <xdr:sp macro="MostrarHistoricoLead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F9756759-03F0-50B1-47AC-2B9E17335133}"/>
            </a:ext>
          </a:extLst>
        </xdr:cNvPr>
        <xdr:cNvSpPr/>
      </xdr:nvSpPr>
      <xdr:spPr>
        <a:xfrm>
          <a:off x="4964430" y="13172439"/>
          <a:ext cx="93345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Histórico</a:t>
          </a:r>
        </a:p>
      </xdr:txBody>
    </xdr:sp>
    <xdr:clientData/>
  </xdr:twoCellAnchor>
  <xdr:twoCellAnchor editAs="oneCell">
    <xdr:from>
      <xdr:col>2</xdr:col>
      <xdr:colOff>0</xdr:colOff>
      <xdr:row>53</xdr:row>
      <xdr:rowOff>101599</xdr:rowOff>
    </xdr:from>
    <xdr:to>
      <xdr:col>3</xdr:col>
      <xdr:colOff>384810</xdr:colOff>
      <xdr:row>55</xdr:row>
      <xdr:rowOff>116839</xdr:rowOff>
    </xdr:to>
    <xdr:sp macro="AtualizarCRM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7C99FFD9-7445-8CD6-A0CE-68C89CFF2D0B}"/>
            </a:ext>
          </a:extLst>
        </xdr:cNvPr>
        <xdr:cNvSpPr/>
      </xdr:nvSpPr>
      <xdr:spPr>
        <a:xfrm>
          <a:off x="1783080" y="13680439"/>
          <a:ext cx="93345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3</xdr:col>
      <xdr:colOff>511810</xdr:colOff>
      <xdr:row>53</xdr:row>
      <xdr:rowOff>101599</xdr:rowOff>
    </xdr:from>
    <xdr:to>
      <xdr:col>4</xdr:col>
      <xdr:colOff>73660</xdr:colOff>
      <xdr:row>55</xdr:row>
      <xdr:rowOff>116839</xdr:rowOff>
    </xdr:to>
    <xdr:sp macro="GerarCampanha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61A8A18A-95A5-4575-20B6-E41A001691CA}"/>
            </a:ext>
          </a:extLst>
        </xdr:cNvPr>
        <xdr:cNvSpPr/>
      </xdr:nvSpPr>
      <xdr:spPr>
        <a:xfrm>
          <a:off x="2843530" y="13680439"/>
          <a:ext cx="93345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Campanha</a:t>
          </a:r>
        </a:p>
      </xdr:txBody>
    </xdr:sp>
    <xdr:clientData/>
  </xdr:twoCellAnchor>
  <xdr:twoCellAnchor editAs="oneCell">
    <xdr:from>
      <xdr:col>4</xdr:col>
      <xdr:colOff>200660</xdr:colOff>
      <xdr:row>53</xdr:row>
      <xdr:rowOff>101599</xdr:rowOff>
    </xdr:from>
    <xdr:to>
      <xdr:col>5</xdr:col>
      <xdr:colOff>173990</xdr:colOff>
      <xdr:row>55</xdr:row>
      <xdr:rowOff>116839</xdr:rowOff>
    </xdr:to>
    <xdr:sp macro="NovaIndicaca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FDF7E5C-8687-3F44-ECBE-D1C6A4F14B4E}"/>
            </a:ext>
          </a:extLst>
        </xdr:cNvPr>
        <xdr:cNvSpPr/>
      </xdr:nvSpPr>
      <xdr:spPr>
        <a:xfrm>
          <a:off x="3903980" y="13680439"/>
          <a:ext cx="93345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Indicação</a:t>
          </a:r>
        </a:p>
      </xdr:txBody>
    </xdr:sp>
    <xdr:clientData/>
  </xdr:twoCellAnchor>
  <xdr:twoCellAnchor editAs="oneCell">
    <xdr:from>
      <xdr:col>5</xdr:col>
      <xdr:colOff>300990</xdr:colOff>
      <xdr:row>53</xdr:row>
      <xdr:rowOff>101599</xdr:rowOff>
    </xdr:from>
    <xdr:to>
      <xdr:col>6</xdr:col>
      <xdr:colOff>0</xdr:colOff>
      <xdr:row>55</xdr:row>
      <xdr:rowOff>116839</xdr:rowOff>
    </xdr:to>
    <xdr:sp macro="IrDashCRM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E5A88A47-39A6-3BCB-F1AD-1520AA05FD26}"/>
            </a:ext>
          </a:extLst>
        </xdr:cNvPr>
        <xdr:cNvSpPr/>
      </xdr:nvSpPr>
      <xdr:spPr>
        <a:xfrm>
          <a:off x="4964430" y="13680439"/>
          <a:ext cx="93345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Dash CRM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21</xdr:row>
      <xdr:rowOff>0</xdr:rowOff>
    </xdr:from>
    <xdr:ext cx="360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3" name="mnuHome">
          <a:extLst>
            <a:ext uri="{FF2B5EF4-FFF2-40B4-BE49-F238E27FC236}">
              <a16:creationId xmlns:a16="http://schemas.microsoft.com/office/drawing/2014/main" id="{37DD2D75-4500-EEFE-4A3C-5A5B0DC18A31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4" name="mnuMaster">
          <a:extLst>
            <a:ext uri="{FF2B5EF4-FFF2-40B4-BE49-F238E27FC236}">
              <a16:creationId xmlns:a16="http://schemas.microsoft.com/office/drawing/2014/main" id="{990FE57E-D869-C5C4-8AF6-F00BFB67BBB3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5" name="mnuFranquia">
          <a:extLst>
            <a:ext uri="{FF2B5EF4-FFF2-40B4-BE49-F238E27FC236}">
              <a16:creationId xmlns:a16="http://schemas.microsoft.com/office/drawing/2014/main" id="{E69373B2-C9A5-0510-8585-0814AC80B26F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6" name="mnuUnidades">
          <a:extLst>
            <a:ext uri="{FF2B5EF4-FFF2-40B4-BE49-F238E27FC236}">
              <a16:creationId xmlns:a16="http://schemas.microsoft.com/office/drawing/2014/main" id="{8EBC8491-704D-74F9-5095-A7B54DD1A69C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7" name="mnuAthena">
          <a:extLst>
            <a:ext uri="{FF2B5EF4-FFF2-40B4-BE49-F238E27FC236}">
              <a16:creationId xmlns:a16="http://schemas.microsoft.com/office/drawing/2014/main" id="{A1D2D92F-6427-A47D-8729-898401F60DBF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8" name="mnuBI">
          <a:extLst>
            <a:ext uri="{FF2B5EF4-FFF2-40B4-BE49-F238E27FC236}">
              <a16:creationId xmlns:a16="http://schemas.microsoft.com/office/drawing/2014/main" id="{8D04D436-7DF9-11E6-B44C-7F29C101CB21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9" name="mnuDashboard">
          <a:extLst>
            <a:ext uri="{FF2B5EF4-FFF2-40B4-BE49-F238E27FC236}">
              <a16:creationId xmlns:a16="http://schemas.microsoft.com/office/drawing/2014/main" id="{AC51FC8A-8C66-5683-4FEC-3034DB2116E7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10" name="mnuPortal">
          <a:extLst>
            <a:ext uri="{FF2B5EF4-FFF2-40B4-BE49-F238E27FC236}">
              <a16:creationId xmlns:a16="http://schemas.microsoft.com/office/drawing/2014/main" id="{7B9654E0-AE73-74EB-8D21-4A765FD677AF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1" name="mnuPortalOps">
          <a:extLst>
            <a:ext uri="{FF2B5EF4-FFF2-40B4-BE49-F238E27FC236}">
              <a16:creationId xmlns:a16="http://schemas.microsoft.com/office/drawing/2014/main" id="{20C2670E-40F0-2CA9-9291-A538D6F32877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2" name="mnuAcesso">
          <a:extLst>
            <a:ext uri="{FF2B5EF4-FFF2-40B4-BE49-F238E27FC236}">
              <a16:creationId xmlns:a16="http://schemas.microsoft.com/office/drawing/2014/main" id="{CFC8A4D4-C9E0-7F37-0270-07FC431E4D48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3" name="mnuPDV">
          <a:extLst>
            <a:ext uri="{FF2B5EF4-FFF2-40B4-BE49-F238E27FC236}">
              <a16:creationId xmlns:a16="http://schemas.microsoft.com/office/drawing/2014/main" id="{262996C7-78E0-B730-CB45-EF3DE5735E47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4" name="mnuCRM">
          <a:extLst>
            <a:ext uri="{FF2B5EF4-FFF2-40B4-BE49-F238E27FC236}">
              <a16:creationId xmlns:a16="http://schemas.microsoft.com/office/drawing/2014/main" id="{C48CCC73-233A-C9DF-6FCA-DFB014B5048C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5" name="mnuAlunos">
          <a:extLst>
            <a:ext uri="{FF2B5EF4-FFF2-40B4-BE49-F238E27FC236}">
              <a16:creationId xmlns:a16="http://schemas.microsoft.com/office/drawing/2014/main" id="{479A71F2-6B70-DB05-A550-03163C0F65BE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6" name="mnuAvaliacao">
          <a:extLst>
            <a:ext uri="{FF2B5EF4-FFF2-40B4-BE49-F238E27FC236}">
              <a16:creationId xmlns:a16="http://schemas.microsoft.com/office/drawing/2014/main" id="{312A2D7C-CF5E-2C57-9312-4D14993427B1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7" name="mnuTreinos">
          <a:extLst>
            <a:ext uri="{FF2B5EF4-FFF2-40B4-BE49-F238E27FC236}">
              <a16:creationId xmlns:a16="http://schemas.microsoft.com/office/drawing/2014/main" id="{0E102500-AA74-D137-AF5F-85CD6DF644C8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24</xdr:row>
      <xdr:rowOff>7620</xdr:rowOff>
    </xdr:to>
    <xdr:sp macro="IrMensalidades" textlink="">
      <xdr:nvSpPr>
        <xdr:cNvPr id="18" name="mnuMensalidades">
          <a:extLst>
            <a:ext uri="{FF2B5EF4-FFF2-40B4-BE49-F238E27FC236}">
              <a16:creationId xmlns:a16="http://schemas.microsoft.com/office/drawing/2014/main" id="{0B0A658D-FCD7-17DA-FC06-9617AC397586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83820</xdr:rowOff>
    </xdr:from>
    <xdr:to>
      <xdr:col>0</xdr:col>
      <xdr:colOff>1607820</xdr:colOff>
      <xdr:row>26</xdr:row>
      <xdr:rowOff>99060</xdr:rowOff>
    </xdr:to>
    <xdr:sp macro="IrFinanceiro" textlink="">
      <xdr:nvSpPr>
        <xdr:cNvPr id="19" name="mnuFinanceiro">
          <a:extLst>
            <a:ext uri="{FF2B5EF4-FFF2-40B4-BE49-F238E27FC236}">
              <a16:creationId xmlns:a16="http://schemas.microsoft.com/office/drawing/2014/main" id="{1BD3D138-6BE2-93CD-B508-D0036E6770D6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175260</xdr:rowOff>
    </xdr:from>
    <xdr:to>
      <xdr:col>0</xdr:col>
      <xdr:colOff>1607820</xdr:colOff>
      <xdr:row>28</xdr:row>
      <xdr:rowOff>144780</xdr:rowOff>
    </xdr:to>
    <xdr:sp macro="IrEstoque" textlink="">
      <xdr:nvSpPr>
        <xdr:cNvPr id="20" name="mnuEstoque">
          <a:extLst>
            <a:ext uri="{FF2B5EF4-FFF2-40B4-BE49-F238E27FC236}">
              <a16:creationId xmlns:a16="http://schemas.microsoft.com/office/drawing/2014/main" id="{3117A60C-469A-725D-44E6-427AE0E16D1C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38100</xdr:rowOff>
    </xdr:from>
    <xdr:to>
      <xdr:col>0</xdr:col>
      <xdr:colOff>1607820</xdr:colOff>
      <xdr:row>31</xdr:row>
      <xdr:rowOff>22860</xdr:rowOff>
    </xdr:to>
    <xdr:sp macro="IrRelatorios" textlink="">
      <xdr:nvSpPr>
        <xdr:cNvPr id="21" name="mnuRelatorios">
          <a:extLst>
            <a:ext uri="{FF2B5EF4-FFF2-40B4-BE49-F238E27FC236}">
              <a16:creationId xmlns:a16="http://schemas.microsoft.com/office/drawing/2014/main" id="{87C5BEA7-1E34-009C-053B-52377640595D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99060</xdr:rowOff>
    </xdr:from>
    <xdr:to>
      <xdr:col>0</xdr:col>
      <xdr:colOff>1607820</xdr:colOff>
      <xdr:row>33</xdr:row>
      <xdr:rowOff>83820</xdr:rowOff>
    </xdr:to>
    <xdr:sp macro="IrConfig" textlink="">
      <xdr:nvSpPr>
        <xdr:cNvPr id="22" name="mnuConfig">
          <a:extLst>
            <a:ext uri="{FF2B5EF4-FFF2-40B4-BE49-F238E27FC236}">
              <a16:creationId xmlns:a16="http://schemas.microsoft.com/office/drawing/2014/main" id="{E4767305-A2DE-49D9-744E-BFD7A3BC43FE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88900</xdr:rowOff>
    </xdr:from>
    <xdr:to>
      <xdr:col>0</xdr:col>
      <xdr:colOff>1607820</xdr:colOff>
      <xdr:row>36</xdr:row>
      <xdr:rowOff>104140</xdr:rowOff>
    </xdr:to>
    <xdr:sp macro="SairSistema" textlink="">
      <xdr:nvSpPr>
        <xdr:cNvPr id="23" name="mnuSair">
          <a:extLst>
            <a:ext uri="{FF2B5EF4-FFF2-40B4-BE49-F238E27FC236}">
              <a16:creationId xmlns:a16="http://schemas.microsoft.com/office/drawing/2014/main" id="{C1C94850-C9CE-F529-9675-F2F292208B67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864870</xdr:colOff>
      <xdr:row>38</xdr:row>
      <xdr:rowOff>15240</xdr:rowOff>
    </xdr:to>
    <xdr:sp macro="AtualizarCRM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492F6F98-14B2-F8F0-A412-39AA51DE6D71}"/>
            </a:ext>
          </a:extLst>
        </xdr:cNvPr>
        <xdr:cNvSpPr/>
      </xdr:nvSpPr>
      <xdr:spPr>
        <a:xfrm>
          <a:off x="1783080" y="1059180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3</xdr:col>
      <xdr:colOff>31750</xdr:colOff>
      <xdr:row>36</xdr:row>
      <xdr:rowOff>0</xdr:rowOff>
    </xdr:from>
    <xdr:to>
      <xdr:col>3</xdr:col>
      <xdr:colOff>896620</xdr:colOff>
      <xdr:row>38</xdr:row>
      <xdr:rowOff>15240</xdr:rowOff>
    </xdr:to>
    <xdr:sp macro="IrCRM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234795A9-6BF4-FA47-BEC9-0AD6DD9CB8D8}"/>
            </a:ext>
          </a:extLst>
        </xdr:cNvPr>
        <xdr:cNvSpPr/>
      </xdr:nvSpPr>
      <xdr:spPr>
        <a:xfrm>
          <a:off x="2774950" y="1059180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Abrir CRM</a:t>
          </a:r>
        </a:p>
      </xdr:txBody>
    </xdr:sp>
    <xdr:clientData/>
  </xdr:twoCellAnchor>
  <xdr:twoCellAnchor editAs="oneCell">
    <xdr:from>
      <xdr:col>4</xdr:col>
      <xdr:colOff>63500</xdr:colOff>
      <xdr:row>36</xdr:row>
      <xdr:rowOff>0</xdr:rowOff>
    </xdr:from>
    <xdr:to>
      <xdr:col>4</xdr:col>
      <xdr:colOff>928370</xdr:colOff>
      <xdr:row>38</xdr:row>
      <xdr:rowOff>15240</xdr:rowOff>
    </xdr:to>
    <xdr:sp macro="IrHome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3E7824FC-B3CD-CC6B-4FD8-ED1BF02DC73A}"/>
            </a:ext>
          </a:extLst>
        </xdr:cNvPr>
        <xdr:cNvSpPr/>
      </xdr:nvSpPr>
      <xdr:spPr>
        <a:xfrm>
          <a:off x="3766820" y="1059180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  <xdr:twoCellAnchor editAs="oneCell">
    <xdr:from>
      <xdr:col>5</xdr:col>
      <xdr:colOff>95250</xdr:colOff>
      <xdr:row>36</xdr:row>
      <xdr:rowOff>0</xdr:rowOff>
    </xdr:from>
    <xdr:to>
      <xdr:col>6</xdr:col>
      <xdr:colOff>0</xdr:colOff>
      <xdr:row>38</xdr:row>
      <xdr:rowOff>15240</xdr:rowOff>
    </xdr:to>
    <xdr:sp macro="IrDashboard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46C7965E-F1DF-E94E-AE9C-5C22C2D45789}"/>
            </a:ext>
          </a:extLst>
        </xdr:cNvPr>
        <xdr:cNvSpPr/>
      </xdr:nvSpPr>
      <xdr:spPr>
        <a:xfrm>
          <a:off x="4758690" y="1059180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Dashboard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4C6E328D-6A30-3B84-68A6-1CF1AE178C01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70CED699-64A4-58D5-3137-0C078B0CFE35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A5A3A601-3A5A-7088-253A-10E96580DB58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E31D807A-8490-BB6C-49C3-59DF6A357A46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B96FB7F9-2728-46E8-9098-6C429384E4B9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EAA404C4-7F9C-2D15-3F04-B2AF2AD4BCE6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2A9D3009-5231-4540-4B71-8832D67C0AFC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FF761269-4FC7-3F25-4D1F-90431355AF61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56147F5A-CAD9-6F50-3680-17052D8A0007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2A7F0CCB-69F7-5ECF-6DF4-A17A7B62D5F1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A7F376CF-AAB9-7B09-EB05-753DB1276E76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FBE435BA-CE86-98D5-401A-76443D8CC4DB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3AE3311E-CFF5-0853-C0C2-E463F8541AD9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69B0CD55-541F-ED68-A3F9-69357F1EF9EB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14CAC31A-4CE6-17B8-A03E-3C43F1FBAB3D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24</xdr:row>
      <xdr:rowOff>7620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39E461D6-EEFE-F6EE-31E9-F0269BFF46B9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83820</xdr:rowOff>
    </xdr:from>
    <xdr:to>
      <xdr:col>0</xdr:col>
      <xdr:colOff>1607820</xdr:colOff>
      <xdr:row>26</xdr:row>
      <xdr:rowOff>53340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CD2B90F5-B712-3D43-EC34-0549EDFCF56C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129540</xdr:rowOff>
    </xdr:from>
    <xdr:to>
      <xdr:col>0</xdr:col>
      <xdr:colOff>1607820</xdr:colOff>
      <xdr:row>28</xdr:row>
      <xdr:rowOff>144780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17A556C9-BAB9-B098-567D-CDDC6D27A42F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38100</xdr:rowOff>
    </xdr:from>
    <xdr:to>
      <xdr:col>0</xdr:col>
      <xdr:colOff>1607820</xdr:colOff>
      <xdr:row>31</xdr:row>
      <xdr:rowOff>53340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24747D81-70BF-9329-7386-343E88A3C194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129540</xdr:rowOff>
    </xdr:from>
    <xdr:to>
      <xdr:col>0</xdr:col>
      <xdr:colOff>1607820</xdr:colOff>
      <xdr:row>33</xdr:row>
      <xdr:rowOff>144780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8DD8B6A5-5927-007A-CD0B-92896A80DB2F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165100</xdr:rowOff>
    </xdr:from>
    <xdr:to>
      <xdr:col>0</xdr:col>
      <xdr:colOff>1607820</xdr:colOff>
      <xdr:row>36</xdr:row>
      <xdr:rowOff>180340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F592E8DD-DE9C-F25C-E430-66A87CB14800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49</xdr:row>
      <xdr:rowOff>182879</xdr:rowOff>
    </xdr:from>
    <xdr:to>
      <xdr:col>2</xdr:col>
      <xdr:colOff>762000</xdr:colOff>
      <xdr:row>52</xdr:row>
      <xdr:rowOff>15239</xdr:rowOff>
    </xdr:to>
    <xdr:sp macro="NovaAvalia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61907071-7448-B2B0-D3B8-39FF30A478FB}"/>
            </a:ext>
          </a:extLst>
        </xdr:cNvPr>
        <xdr:cNvSpPr/>
      </xdr:nvSpPr>
      <xdr:spPr>
        <a:xfrm>
          <a:off x="1783080" y="13121639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+ Avaliação</a:t>
          </a:r>
        </a:p>
      </xdr:txBody>
    </xdr:sp>
    <xdr:clientData/>
  </xdr:twoCellAnchor>
  <xdr:twoCellAnchor editAs="oneCell">
    <xdr:from>
      <xdr:col>3</xdr:col>
      <xdr:colOff>66040</xdr:colOff>
      <xdr:row>49</xdr:row>
      <xdr:rowOff>182879</xdr:rowOff>
    </xdr:from>
    <xdr:to>
      <xdr:col>3</xdr:col>
      <xdr:colOff>828040</xdr:colOff>
      <xdr:row>52</xdr:row>
      <xdr:rowOff>15239</xdr:rowOff>
    </xdr:to>
    <xdr:sp macro="CompararAvaliacoes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76075AFF-88DE-E770-A3C3-F4C5418CA24F}"/>
            </a:ext>
          </a:extLst>
        </xdr:cNvPr>
        <xdr:cNvSpPr/>
      </xdr:nvSpPr>
      <xdr:spPr>
        <a:xfrm>
          <a:off x="2672080" y="13121639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Comparar</a:t>
          </a:r>
        </a:p>
      </xdr:txBody>
    </xdr:sp>
    <xdr:clientData/>
  </xdr:twoCellAnchor>
  <xdr:twoCellAnchor editAs="oneCell">
    <xdr:from>
      <xdr:col>3</xdr:col>
      <xdr:colOff>955040</xdr:colOff>
      <xdr:row>49</xdr:row>
      <xdr:rowOff>182879</xdr:rowOff>
    </xdr:from>
    <xdr:to>
      <xdr:col>4</xdr:col>
      <xdr:colOff>756920</xdr:colOff>
      <xdr:row>52</xdr:row>
      <xdr:rowOff>15239</xdr:rowOff>
    </xdr:to>
    <xdr:sp macro="AtualizarAvaliacoes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D0185981-F382-CB91-B0A9-3D081FD0E6E2}"/>
            </a:ext>
          </a:extLst>
        </xdr:cNvPr>
        <xdr:cNvSpPr/>
      </xdr:nvSpPr>
      <xdr:spPr>
        <a:xfrm>
          <a:off x="3561080" y="13121639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5</xdr:col>
      <xdr:colOff>60960</xdr:colOff>
      <xdr:row>49</xdr:row>
      <xdr:rowOff>182879</xdr:rowOff>
    </xdr:from>
    <xdr:to>
      <xdr:col>6</xdr:col>
      <xdr:colOff>0</xdr:colOff>
      <xdr:row>52</xdr:row>
      <xdr:rowOff>15239</xdr:rowOff>
    </xdr:to>
    <xdr:sp macro="GerarPDFAvaliaca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AE6019B4-1584-267A-D7DF-4FF354A1AAA1}"/>
            </a:ext>
          </a:extLst>
        </xdr:cNvPr>
        <xdr:cNvSpPr/>
      </xdr:nvSpPr>
      <xdr:spPr>
        <a:xfrm>
          <a:off x="4450080" y="13121639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PDF</a:t>
          </a:r>
        </a:p>
      </xdr:txBody>
    </xdr:sp>
    <xdr:clientData/>
  </xdr:twoCellAnchor>
  <xdr:twoCellAnchor editAs="oneCell">
    <xdr:from>
      <xdr:col>2</xdr:col>
      <xdr:colOff>0</xdr:colOff>
      <xdr:row>52</xdr:row>
      <xdr:rowOff>142239</xdr:rowOff>
    </xdr:from>
    <xdr:to>
      <xdr:col>2</xdr:col>
      <xdr:colOff>762000</xdr:colOff>
      <xdr:row>54</xdr:row>
      <xdr:rowOff>157479</xdr:rowOff>
    </xdr:to>
    <xdr:sp macro="CarregarAvaliacaoSelecionada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A020DC9B-7D46-0194-704F-A163A0ED24FB}"/>
            </a:ext>
          </a:extLst>
        </xdr:cNvPr>
        <xdr:cNvSpPr/>
      </xdr:nvSpPr>
      <xdr:spPr>
        <a:xfrm>
          <a:off x="1783080" y="13629639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Carregar</a:t>
          </a:r>
        </a:p>
      </xdr:txBody>
    </xdr:sp>
    <xdr:clientData/>
  </xdr:twoCellAnchor>
  <xdr:twoCellAnchor editAs="oneCell">
    <xdr:from>
      <xdr:col>3</xdr:col>
      <xdr:colOff>66040</xdr:colOff>
      <xdr:row>52</xdr:row>
      <xdr:rowOff>142239</xdr:rowOff>
    </xdr:from>
    <xdr:to>
      <xdr:col>3</xdr:col>
      <xdr:colOff>828040</xdr:colOff>
      <xdr:row>54</xdr:row>
      <xdr:rowOff>157479</xdr:rowOff>
    </xdr:to>
    <xdr:sp macro="IrTreinos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6340B1D5-6F22-BC2E-3ACA-D4EA0CE150F1}"/>
            </a:ext>
          </a:extLst>
        </xdr:cNvPr>
        <xdr:cNvSpPr/>
      </xdr:nvSpPr>
      <xdr:spPr>
        <a:xfrm>
          <a:off x="2672080" y="13629639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Treinos</a:t>
          </a:r>
        </a:p>
      </xdr:txBody>
    </xdr:sp>
    <xdr:clientData/>
  </xdr:twoCellAnchor>
  <xdr:twoCellAnchor editAs="oneCell">
    <xdr:from>
      <xdr:col>3</xdr:col>
      <xdr:colOff>955040</xdr:colOff>
      <xdr:row>52</xdr:row>
      <xdr:rowOff>142239</xdr:rowOff>
    </xdr:from>
    <xdr:to>
      <xdr:col>4</xdr:col>
      <xdr:colOff>756920</xdr:colOff>
      <xdr:row>54</xdr:row>
      <xdr:rowOff>157479</xdr:rowOff>
    </xdr:to>
    <xdr:sp macro="IrHom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23C31FC9-3478-C937-A3EB-F11DA451F4F8}"/>
            </a:ext>
          </a:extLst>
        </xdr:cNvPr>
        <xdr:cNvSpPr/>
      </xdr:nvSpPr>
      <xdr:spPr>
        <a:xfrm>
          <a:off x="3561080" y="13629639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  <xdr:twoCellAnchor editAs="oneCell">
    <xdr:from>
      <xdr:col>5</xdr:col>
      <xdr:colOff>60960</xdr:colOff>
      <xdr:row>52</xdr:row>
      <xdr:rowOff>142239</xdr:rowOff>
    </xdr:from>
    <xdr:to>
      <xdr:col>6</xdr:col>
      <xdr:colOff>0</xdr:colOff>
      <xdr:row>54</xdr:row>
      <xdr:rowOff>157479</xdr:rowOff>
    </xdr:to>
    <xdr:sp macro="IrDashProfessores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EEDB698E-6905-9E55-6E9E-C8B3358D8E8A}"/>
            </a:ext>
          </a:extLst>
        </xdr:cNvPr>
        <xdr:cNvSpPr/>
      </xdr:nvSpPr>
      <xdr:spPr>
        <a:xfrm>
          <a:off x="4450080" y="13629639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Dash Prof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6A061C44-8435-84BD-0923-E319A7341316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8CE89F08-FC2C-6872-562F-DFBC4409F0E4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B0B91639-9709-F456-033E-6A215DC91069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85838814-2BC2-9ECD-677D-DDF8DCFB7734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902BFC23-692D-D362-E29E-1DAF7C47A23B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745D758F-9D4B-CA17-9EE3-11209FF2C5EE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59293AE5-C228-F113-BB8F-3B8EBFCCA576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7903D310-D9B6-6353-7AB5-C717C17CC644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6C86E49E-DC0C-9E67-B853-306ED6E7C430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DD8EFAC5-4EE2-654D-C357-66EA923DC96E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D97154C0-EDA2-F94B-48BC-5CD8551EDA87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282E9C60-A09F-1B14-0808-7746BB72A1C3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73E532AA-A4F2-5420-3569-E6D3A1779089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1B265C6E-0B7E-9F89-661A-F6C9709AE74C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6C9A7712-9047-EDAF-B32D-3525408EB8DC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23</xdr:row>
      <xdr:rowOff>190500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0BDACFC0-10D3-F0E2-430F-8637F8707B98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38100</xdr:rowOff>
    </xdr:from>
    <xdr:to>
      <xdr:col>0</xdr:col>
      <xdr:colOff>1607820</xdr:colOff>
      <xdr:row>26</xdr:row>
      <xdr:rowOff>53340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375B0F09-0984-3A81-B064-AAE97BA7AE4D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129540</xdr:rowOff>
    </xdr:from>
    <xdr:to>
      <xdr:col>0</xdr:col>
      <xdr:colOff>1607820</xdr:colOff>
      <xdr:row>28</xdr:row>
      <xdr:rowOff>144780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2CC65CB2-31CE-A8A0-C41B-4F3FA0C8CF30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38100</xdr:rowOff>
    </xdr:from>
    <xdr:to>
      <xdr:col>0</xdr:col>
      <xdr:colOff>1607820</xdr:colOff>
      <xdr:row>31</xdr:row>
      <xdr:rowOff>53340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86A5139B-9F69-121B-53A3-9E0EF81A9F48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129540</xdr:rowOff>
    </xdr:from>
    <xdr:to>
      <xdr:col>0</xdr:col>
      <xdr:colOff>1607820</xdr:colOff>
      <xdr:row>33</xdr:row>
      <xdr:rowOff>144780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464E0C05-0A16-491B-CCD9-98CBD1B56568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165100</xdr:rowOff>
    </xdr:from>
    <xdr:to>
      <xdr:col>0</xdr:col>
      <xdr:colOff>1607820</xdr:colOff>
      <xdr:row>36</xdr:row>
      <xdr:rowOff>180340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B0270C89-4064-BD79-4E3D-58CE84040BAE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3</xdr:col>
      <xdr:colOff>247650</xdr:colOff>
      <xdr:row>40</xdr:row>
      <xdr:rowOff>381000</xdr:rowOff>
    </xdr:to>
    <xdr:sp macro="CriarTrein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C89664A5-D875-0348-77C0-C75227EAF289}"/>
            </a:ext>
          </a:extLst>
        </xdr:cNvPr>
        <xdr:cNvSpPr/>
      </xdr:nvSpPr>
      <xdr:spPr>
        <a:xfrm>
          <a:off x="1783080" y="1124712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+ Treino</a:t>
          </a:r>
        </a:p>
      </xdr:txBody>
    </xdr:sp>
    <xdr:clientData/>
  </xdr:twoCellAnchor>
  <xdr:twoCellAnchor editAs="oneCell">
    <xdr:from>
      <xdr:col>3</xdr:col>
      <xdr:colOff>374650</xdr:colOff>
      <xdr:row>40</xdr:row>
      <xdr:rowOff>0</xdr:rowOff>
    </xdr:from>
    <xdr:to>
      <xdr:col>3</xdr:col>
      <xdr:colOff>1170940</xdr:colOff>
      <xdr:row>40</xdr:row>
      <xdr:rowOff>381000</xdr:rowOff>
    </xdr:to>
    <xdr:sp macro="CopiarTrein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A902E8BE-3CA6-6F45-F1D5-0657BB79591C}"/>
            </a:ext>
          </a:extLst>
        </xdr:cNvPr>
        <xdr:cNvSpPr/>
      </xdr:nvSpPr>
      <xdr:spPr>
        <a:xfrm>
          <a:off x="2706370" y="1124712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Copiar</a:t>
          </a:r>
        </a:p>
      </xdr:txBody>
    </xdr:sp>
    <xdr:clientData/>
  </xdr:twoCellAnchor>
  <xdr:twoCellAnchor editAs="oneCell">
    <xdr:from>
      <xdr:col>4</xdr:col>
      <xdr:colOff>63500</xdr:colOff>
      <xdr:row>40</xdr:row>
      <xdr:rowOff>0</xdr:rowOff>
    </xdr:from>
    <xdr:to>
      <xdr:col>5</xdr:col>
      <xdr:colOff>36830</xdr:colOff>
      <xdr:row>40</xdr:row>
      <xdr:rowOff>381000</xdr:rowOff>
    </xdr:to>
    <xdr:sp macro="AdicionarExercicioNaFich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3CCFB1-A9FC-721A-E0FD-7F08071A89FD}"/>
            </a:ext>
          </a:extLst>
        </xdr:cNvPr>
        <xdr:cNvSpPr/>
      </xdr:nvSpPr>
      <xdr:spPr>
        <a:xfrm>
          <a:off x="3629660" y="1124712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+ Exercício</a:t>
          </a:r>
        </a:p>
      </xdr:txBody>
    </xdr:sp>
    <xdr:clientData/>
  </xdr:twoCellAnchor>
  <xdr:twoCellAnchor editAs="oneCell">
    <xdr:from>
      <xdr:col>5</xdr:col>
      <xdr:colOff>163830</xdr:colOff>
      <xdr:row>40</xdr:row>
      <xdr:rowOff>0</xdr:rowOff>
    </xdr:from>
    <xdr:to>
      <xdr:col>6</xdr:col>
      <xdr:colOff>0</xdr:colOff>
      <xdr:row>40</xdr:row>
      <xdr:rowOff>381000</xdr:rowOff>
    </xdr:to>
    <xdr:sp macro="FinalizarTrein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654A5D69-1355-CA8C-18AE-44471A218DE9}"/>
            </a:ext>
          </a:extLst>
        </xdr:cNvPr>
        <xdr:cNvSpPr/>
      </xdr:nvSpPr>
      <xdr:spPr>
        <a:xfrm>
          <a:off x="4552950" y="11247120"/>
          <a:ext cx="79629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FFFFFF"/>
              </a:solidFill>
              <a:latin typeface="Calibri" panose="020F0502020204030204" pitchFamily="34" charset="0"/>
            </a:rPr>
            <a:t>Finalizar</a:t>
          </a:r>
        </a:p>
      </xdr:txBody>
    </xdr:sp>
    <xdr:clientData/>
  </xdr:twoCellAnchor>
  <xdr:twoCellAnchor editAs="oneCell">
    <xdr:from>
      <xdr:col>2</xdr:col>
      <xdr:colOff>0</xdr:colOff>
      <xdr:row>41</xdr:row>
      <xdr:rowOff>50800</xdr:rowOff>
    </xdr:from>
    <xdr:to>
      <xdr:col>3</xdr:col>
      <xdr:colOff>247650</xdr:colOff>
      <xdr:row>41</xdr:row>
      <xdr:rowOff>431800</xdr:rowOff>
    </xdr:to>
    <xdr:sp macro="AtualizarTreino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2916EA83-C664-5B42-686C-C320837166B1}"/>
            </a:ext>
          </a:extLst>
        </xdr:cNvPr>
        <xdr:cNvSpPr/>
      </xdr:nvSpPr>
      <xdr:spPr>
        <a:xfrm>
          <a:off x="1783080" y="1175512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3</xdr:col>
      <xdr:colOff>374650</xdr:colOff>
      <xdr:row>41</xdr:row>
      <xdr:rowOff>50800</xdr:rowOff>
    </xdr:from>
    <xdr:to>
      <xdr:col>3</xdr:col>
      <xdr:colOff>1170940</xdr:colOff>
      <xdr:row>41</xdr:row>
      <xdr:rowOff>431800</xdr:rowOff>
    </xdr:to>
    <xdr:sp macro="GerarPDFTreino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4D212B12-4293-B61C-7FF1-45935EC90E6C}"/>
            </a:ext>
          </a:extLst>
        </xdr:cNvPr>
        <xdr:cNvSpPr/>
      </xdr:nvSpPr>
      <xdr:spPr>
        <a:xfrm>
          <a:off x="2706370" y="1175512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PDF</a:t>
          </a:r>
        </a:p>
      </xdr:txBody>
    </xdr:sp>
    <xdr:clientData/>
  </xdr:twoCellAnchor>
  <xdr:twoCellAnchor editAs="oneCell">
    <xdr:from>
      <xdr:col>4</xdr:col>
      <xdr:colOff>63500</xdr:colOff>
      <xdr:row>41</xdr:row>
      <xdr:rowOff>50800</xdr:rowOff>
    </xdr:from>
    <xdr:to>
      <xdr:col>5</xdr:col>
      <xdr:colOff>36830</xdr:colOff>
      <xdr:row>41</xdr:row>
      <xdr:rowOff>431800</xdr:rowOff>
    </xdr:to>
    <xdr:sp macro="IrAvaliacao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577AFAE4-C081-2595-3278-0D94B82B34C0}"/>
            </a:ext>
          </a:extLst>
        </xdr:cNvPr>
        <xdr:cNvSpPr/>
      </xdr:nvSpPr>
      <xdr:spPr>
        <a:xfrm>
          <a:off x="3629660" y="1175512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Avaliação</a:t>
          </a:r>
        </a:p>
      </xdr:txBody>
    </xdr:sp>
    <xdr:clientData/>
  </xdr:twoCellAnchor>
  <xdr:twoCellAnchor editAs="oneCell">
    <xdr:from>
      <xdr:col>5</xdr:col>
      <xdr:colOff>163830</xdr:colOff>
      <xdr:row>41</xdr:row>
      <xdr:rowOff>50800</xdr:rowOff>
    </xdr:from>
    <xdr:to>
      <xdr:col>6</xdr:col>
      <xdr:colOff>0</xdr:colOff>
      <xdr:row>41</xdr:row>
      <xdr:rowOff>431800</xdr:rowOff>
    </xdr:to>
    <xdr:sp macro="IrHome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69068C22-7E2B-7570-89B2-21346E305BB4}"/>
            </a:ext>
          </a:extLst>
        </xdr:cNvPr>
        <xdr:cNvSpPr/>
      </xdr:nvSpPr>
      <xdr:spPr>
        <a:xfrm>
          <a:off x="4552950" y="1175512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9511A942-7858-12A1-2202-740E63DA692F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81197D7F-BBD4-9A37-7074-5830F15911D9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D3497F01-F625-D819-4890-25D76FF56633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2826A870-1795-A647-37C1-504FEF2240BE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8B9115A6-6CA4-BE4D-3676-FF8C3715E2C3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6D7430BF-2D93-C86F-CD7A-0E0B5B02C41B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090272F7-FFE6-CBBF-34EC-9781D25C039F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B588DFF8-AA64-9F73-D4D1-080A8B8BCA04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D6D6404B-7FEC-609B-9DA3-571B1DF82A40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00959FA7-2EA2-AC6A-7DF9-4B85BBE490C8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284EB4B6-5269-ABD9-2B6B-9C78E0A48DA3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686BCDA2-25C9-460C-A22D-0F64E21BD4FB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84EB5C5D-F8EC-F945-04BC-44A3A69B19E5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9DF54017-A696-FB84-0DDE-EF4423336CD9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F69D237A-9467-A982-20B9-1C9F3B45DB86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23</xdr:row>
      <xdr:rowOff>190500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C01F43AF-1ABC-96E4-0D0E-156F53BEDB2A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23</xdr:row>
      <xdr:rowOff>266700</xdr:rowOff>
    </xdr:from>
    <xdr:to>
      <xdr:col>0</xdr:col>
      <xdr:colOff>1607820</xdr:colOff>
      <xdr:row>24</xdr:row>
      <xdr:rowOff>190500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04858B73-2457-B892-3A90-28C8543ACF26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266700</xdr:rowOff>
    </xdr:from>
    <xdr:to>
      <xdr:col>0</xdr:col>
      <xdr:colOff>1607820</xdr:colOff>
      <xdr:row>26</xdr:row>
      <xdr:rowOff>7620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E96279D1-B7A9-6E9F-FEF1-FAE5D82C70DD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83820</xdr:rowOff>
    </xdr:from>
    <xdr:to>
      <xdr:col>0</xdr:col>
      <xdr:colOff>1607820</xdr:colOff>
      <xdr:row>28</xdr:row>
      <xdr:rowOff>53340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3B0686B9-0AD0-59D8-1E1E-948DDF921B44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28</xdr:row>
      <xdr:rowOff>129540</xdr:rowOff>
    </xdr:from>
    <xdr:to>
      <xdr:col>0</xdr:col>
      <xdr:colOff>1607820</xdr:colOff>
      <xdr:row>30</xdr:row>
      <xdr:rowOff>144780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9FED3029-A5F0-8EC2-CAC2-29B7937A6AE1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165100</xdr:rowOff>
    </xdr:from>
    <xdr:to>
      <xdr:col>0</xdr:col>
      <xdr:colOff>1607820</xdr:colOff>
      <xdr:row>33</xdr:row>
      <xdr:rowOff>180340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13046FF2-6CE0-03F5-A852-446790419392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864870</xdr:colOff>
      <xdr:row>23</xdr:row>
      <xdr:rowOff>381000</xdr:rowOff>
    </xdr:to>
    <xdr:sp macro="ConsultarAlunoAcess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6B0863FB-9C59-6AD8-AC68-A2F075F45D9D}"/>
            </a:ext>
          </a:extLst>
        </xdr:cNvPr>
        <xdr:cNvSpPr/>
      </xdr:nvSpPr>
      <xdr:spPr>
        <a:xfrm>
          <a:off x="1783080" y="809244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Consultar</a:t>
          </a:r>
        </a:p>
      </xdr:txBody>
    </xdr:sp>
    <xdr:clientData/>
  </xdr:twoCellAnchor>
  <xdr:twoCellAnchor editAs="oneCell">
    <xdr:from>
      <xdr:col>3</xdr:col>
      <xdr:colOff>31750</xdr:colOff>
      <xdr:row>23</xdr:row>
      <xdr:rowOff>0</xdr:rowOff>
    </xdr:from>
    <xdr:to>
      <xdr:col>3</xdr:col>
      <xdr:colOff>896620</xdr:colOff>
      <xdr:row>23</xdr:row>
      <xdr:rowOff>381000</xdr:rowOff>
    </xdr:to>
    <xdr:sp macro="LiberarEntrada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17ADC891-61EC-BBBE-B575-1AA3D477422E}"/>
            </a:ext>
          </a:extLst>
        </xdr:cNvPr>
        <xdr:cNvSpPr/>
      </xdr:nvSpPr>
      <xdr:spPr>
        <a:xfrm>
          <a:off x="2774950" y="809244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Liberar Entrada</a:t>
          </a:r>
        </a:p>
      </xdr:txBody>
    </xdr:sp>
    <xdr:clientData/>
  </xdr:twoCellAnchor>
  <xdr:twoCellAnchor editAs="oneCell">
    <xdr:from>
      <xdr:col>3</xdr:col>
      <xdr:colOff>1023620</xdr:colOff>
      <xdr:row>23</xdr:row>
      <xdr:rowOff>0</xdr:rowOff>
    </xdr:from>
    <xdr:to>
      <xdr:col>4</xdr:col>
      <xdr:colOff>654050</xdr:colOff>
      <xdr:row>23</xdr:row>
      <xdr:rowOff>381000</xdr:rowOff>
    </xdr:to>
    <xdr:sp macro="RegistrarSaid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E43B3BA7-1285-B29D-353D-BD098811CA9B}"/>
            </a:ext>
          </a:extLst>
        </xdr:cNvPr>
        <xdr:cNvSpPr/>
      </xdr:nvSpPr>
      <xdr:spPr>
        <a:xfrm>
          <a:off x="3766820" y="8092440"/>
          <a:ext cx="86487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FFFFFF"/>
              </a:solidFill>
              <a:latin typeface="Calibri" panose="020F0502020204030204" pitchFamily="34" charset="0"/>
            </a:rPr>
            <a:t>Registrar Saída</a:t>
          </a:r>
        </a:p>
      </xdr:txBody>
    </xdr:sp>
    <xdr:clientData/>
  </xdr:twoCellAnchor>
  <xdr:twoCellAnchor editAs="oneCell">
    <xdr:from>
      <xdr:col>4</xdr:col>
      <xdr:colOff>781050</xdr:colOff>
      <xdr:row>23</xdr:row>
      <xdr:rowOff>0</xdr:rowOff>
    </xdr:from>
    <xdr:to>
      <xdr:col>6</xdr:col>
      <xdr:colOff>0</xdr:colOff>
      <xdr:row>23</xdr:row>
      <xdr:rowOff>381000</xdr:rowOff>
    </xdr:to>
    <xdr:sp macro="ConsultarHistori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A38C9AF0-7D18-C861-9CCE-66EAC204CAEB}"/>
            </a:ext>
          </a:extLst>
        </xdr:cNvPr>
        <xdr:cNvSpPr/>
      </xdr:nvSpPr>
      <xdr:spPr>
        <a:xfrm>
          <a:off x="4758690" y="809244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Histórico</a:t>
          </a:r>
        </a:p>
      </xdr:txBody>
    </xdr:sp>
    <xdr:clientData/>
  </xdr:twoCellAnchor>
  <xdr:twoCellAnchor editAs="oneCell">
    <xdr:from>
      <xdr:col>2</xdr:col>
      <xdr:colOff>0</xdr:colOff>
      <xdr:row>24</xdr:row>
      <xdr:rowOff>50800</xdr:rowOff>
    </xdr:from>
    <xdr:to>
      <xdr:col>2</xdr:col>
      <xdr:colOff>864870</xdr:colOff>
      <xdr:row>24</xdr:row>
      <xdr:rowOff>431800</xdr:rowOff>
    </xdr:to>
    <xdr:sp macro="AtualizarAcesso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FB299A53-67B9-2F15-8AA5-24308A7A2BDC}"/>
            </a:ext>
          </a:extLst>
        </xdr:cNvPr>
        <xdr:cNvSpPr/>
      </xdr:nvSpPr>
      <xdr:spPr>
        <a:xfrm>
          <a:off x="1783080" y="860044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3</xdr:col>
      <xdr:colOff>31750</xdr:colOff>
      <xdr:row>24</xdr:row>
      <xdr:rowOff>50800</xdr:rowOff>
    </xdr:from>
    <xdr:to>
      <xdr:col>3</xdr:col>
      <xdr:colOff>896620</xdr:colOff>
      <xdr:row>24</xdr:row>
      <xdr:rowOff>431800</xdr:rowOff>
    </xdr:to>
    <xdr:sp macro="IdentificarAlunosAusentes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507C3186-2C0E-7782-62DA-175F93BA31C3}"/>
            </a:ext>
          </a:extLst>
        </xdr:cNvPr>
        <xdr:cNvSpPr/>
      </xdr:nvSpPr>
      <xdr:spPr>
        <a:xfrm>
          <a:off x="2774950" y="860044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Ausentes</a:t>
          </a:r>
        </a:p>
      </xdr:txBody>
    </xdr:sp>
    <xdr:clientData/>
  </xdr:twoCellAnchor>
  <xdr:twoCellAnchor editAs="oneCell">
    <xdr:from>
      <xdr:col>3</xdr:col>
      <xdr:colOff>1023620</xdr:colOff>
      <xdr:row>24</xdr:row>
      <xdr:rowOff>50800</xdr:rowOff>
    </xdr:from>
    <xdr:to>
      <xdr:col>4</xdr:col>
      <xdr:colOff>654050</xdr:colOff>
      <xdr:row>24</xdr:row>
      <xdr:rowOff>431800</xdr:rowOff>
    </xdr:to>
    <xdr:sp macro="IrDashFrequenci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C68DE66E-F8AC-90E6-A03E-AD0DE826D85D}"/>
            </a:ext>
          </a:extLst>
        </xdr:cNvPr>
        <xdr:cNvSpPr/>
      </xdr:nvSpPr>
      <xdr:spPr>
        <a:xfrm>
          <a:off x="3766820" y="860044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Dash Freq.</a:t>
          </a:r>
        </a:p>
      </xdr:txBody>
    </xdr:sp>
    <xdr:clientData/>
  </xdr:twoCellAnchor>
  <xdr:twoCellAnchor editAs="oneCell">
    <xdr:from>
      <xdr:col>4</xdr:col>
      <xdr:colOff>781050</xdr:colOff>
      <xdr:row>24</xdr:row>
      <xdr:rowOff>50800</xdr:rowOff>
    </xdr:from>
    <xdr:to>
      <xdr:col>6</xdr:col>
      <xdr:colOff>0</xdr:colOff>
      <xdr:row>24</xdr:row>
      <xdr:rowOff>431800</xdr:rowOff>
    </xdr:to>
    <xdr:sp macro="IrHome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EC162721-0D63-0194-EEE7-8A756BB9618F}"/>
            </a:ext>
          </a:extLst>
        </xdr:cNvPr>
        <xdr:cNvSpPr/>
      </xdr:nvSpPr>
      <xdr:spPr>
        <a:xfrm>
          <a:off x="4758690" y="8600440"/>
          <a:ext cx="86487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493BDD93-D8ED-AFDF-C492-8F6197A64220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C14FBFAF-AAFF-D149-2C1A-95C079A77F48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A6FD4C1B-B6EE-6FEC-90A9-80E22C6F17C8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4F398223-A6A1-E698-E705-0579407069E7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86F6E5D0-90E2-E8C4-8422-E94335FA660D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AB3D8236-3A4B-6378-F181-002E91DD7DCD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627558F8-49B2-CC90-7A74-9186EBF75EF7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C814220D-3F2C-DB93-F498-C0A096DA803A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C3586D1F-CEA2-ABDC-1447-B5046CEC2328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D49C3F6D-E662-FCAD-E1A1-8336421F1F1A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05DA744D-8557-0BFD-7739-C678A5E6CAB2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36CDCCB8-0409-39F1-956F-2CA2AF41777B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A0CA9831-BAF3-D201-2948-BE6AE62750CE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015E5576-A49C-D894-2F9C-D7E043533497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3DB4506F-78BB-7E02-854F-ADA1BC7FAFA5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24</xdr:row>
      <xdr:rowOff>7620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B7A7ADC6-6E5A-BE48-6228-C799B5D0407F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83820</xdr:rowOff>
    </xdr:from>
    <xdr:to>
      <xdr:col>0</xdr:col>
      <xdr:colOff>1607820</xdr:colOff>
      <xdr:row>26</xdr:row>
      <xdr:rowOff>99060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1ACFD429-3881-4969-D55C-4793F61D4E05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175260</xdr:rowOff>
    </xdr:from>
    <xdr:to>
      <xdr:col>0</xdr:col>
      <xdr:colOff>1607820</xdr:colOff>
      <xdr:row>29</xdr:row>
      <xdr:rowOff>7620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3A8A46C3-8E86-1AF7-4B3E-61CDC73D6D23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83820</xdr:rowOff>
    </xdr:from>
    <xdr:to>
      <xdr:col>0</xdr:col>
      <xdr:colOff>1607820</xdr:colOff>
      <xdr:row>31</xdr:row>
      <xdr:rowOff>38100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39A217CA-6799-48A9-3E8A-B50090443B6B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114300</xdr:rowOff>
    </xdr:from>
    <xdr:to>
      <xdr:col>0</xdr:col>
      <xdr:colOff>1607820</xdr:colOff>
      <xdr:row>33</xdr:row>
      <xdr:rowOff>99060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74826240-7689-FCFC-69EE-8B23B70C1DA6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104140</xdr:rowOff>
    </xdr:from>
    <xdr:to>
      <xdr:col>0</xdr:col>
      <xdr:colOff>1607820</xdr:colOff>
      <xdr:row>36</xdr:row>
      <xdr:rowOff>119380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0BCD705D-5C9D-2B50-A2EE-58DC0F6C50DE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762000</xdr:colOff>
      <xdr:row>39</xdr:row>
      <xdr:rowOff>15240</xdr:rowOff>
    </xdr:to>
    <xdr:sp macro="AtualizarDashboardAcess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DE077806-DF62-A018-304E-16AD27B9D79B}"/>
            </a:ext>
          </a:extLst>
        </xdr:cNvPr>
        <xdr:cNvSpPr/>
      </xdr:nvSpPr>
      <xdr:spPr>
        <a:xfrm>
          <a:off x="1783080" y="1075944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2</xdr:col>
      <xdr:colOff>889000</xdr:colOff>
      <xdr:row>37</xdr:row>
      <xdr:rowOff>0</xdr:rowOff>
    </xdr:from>
    <xdr:to>
      <xdr:col>3</xdr:col>
      <xdr:colOff>690880</xdr:colOff>
      <xdr:row>39</xdr:row>
      <xdr:rowOff>15240</xdr:rowOff>
    </xdr:to>
    <xdr:sp macro="IdentificarAlunosAusentes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661E3A7C-A683-EB43-A0E9-06A20D3A9A07}"/>
            </a:ext>
          </a:extLst>
        </xdr:cNvPr>
        <xdr:cNvSpPr/>
      </xdr:nvSpPr>
      <xdr:spPr>
        <a:xfrm>
          <a:off x="2672080" y="1075944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Ausentes→CRM</a:t>
          </a:r>
        </a:p>
      </xdr:txBody>
    </xdr:sp>
    <xdr:clientData/>
  </xdr:twoCellAnchor>
  <xdr:twoCellAnchor editAs="oneCell">
    <xdr:from>
      <xdr:col>3</xdr:col>
      <xdr:colOff>817880</xdr:colOff>
      <xdr:row>37</xdr:row>
      <xdr:rowOff>0</xdr:rowOff>
    </xdr:from>
    <xdr:to>
      <xdr:col>4</xdr:col>
      <xdr:colOff>756920</xdr:colOff>
      <xdr:row>39</xdr:row>
      <xdr:rowOff>15240</xdr:rowOff>
    </xdr:to>
    <xdr:sp macro="IrAcesso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BACEF6E-1E18-D8F9-FAAE-E1014A700438}"/>
            </a:ext>
          </a:extLst>
        </xdr:cNvPr>
        <xdr:cNvSpPr/>
      </xdr:nvSpPr>
      <xdr:spPr>
        <a:xfrm>
          <a:off x="3561080" y="1075944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Recepção</a:t>
          </a:r>
        </a:p>
      </xdr:txBody>
    </xdr:sp>
    <xdr:clientData/>
  </xdr:twoCellAnchor>
  <xdr:twoCellAnchor editAs="oneCell">
    <xdr:from>
      <xdr:col>5</xdr:col>
      <xdr:colOff>60960</xdr:colOff>
      <xdr:row>37</xdr:row>
      <xdr:rowOff>0</xdr:rowOff>
    </xdr:from>
    <xdr:to>
      <xdr:col>6</xdr:col>
      <xdr:colOff>0</xdr:colOff>
      <xdr:row>39</xdr:row>
      <xdr:rowOff>15240</xdr:rowOff>
    </xdr:to>
    <xdr:sp macro="IrHome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C0BAE9DD-6A45-69DC-5809-7EDBE0B7AD5B}"/>
            </a:ext>
          </a:extLst>
        </xdr:cNvPr>
        <xdr:cNvSpPr/>
      </xdr:nvSpPr>
      <xdr:spPr>
        <a:xfrm>
          <a:off x="4450080" y="1075944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EA9AA719-378D-0F62-2FAF-50F0DFEDE2BD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57679ECF-C4F6-58DD-46BB-52F27254EB93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C027C602-1FB6-CDB9-AD30-C3673E7CD338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B461AE6B-CCC1-7100-04AA-071310D8D1C2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E8CB034B-CFE9-363B-EEF1-6BA6572979EB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70E7F60A-7A52-B258-1A0C-3B91F48D0EF8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9F6C8265-2956-319D-E79B-37B0ABBBF0B0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49D6DA95-D004-011D-3342-7114616A96C3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6C0A419A-27CD-1D50-DDB5-FF8CFAD5AB6F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1AEA3195-E709-42CA-7AEB-E5DF1B3174D8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05C43A44-27CA-5CBB-26D8-ADC3193697AD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3E381C47-ED52-F6DB-1975-60DFA59E6761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8FB4016F-4489-22E1-264C-0F45FE429409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99060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DE579935-DF4D-E9F2-9627-2B232A848D9B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175260</xdr:rowOff>
    </xdr:from>
    <xdr:to>
      <xdr:col>0</xdr:col>
      <xdr:colOff>1607820</xdr:colOff>
      <xdr:row>22</xdr:row>
      <xdr:rowOff>99060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607498CE-B529-640C-7A64-3C16A7AEF2AE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175260</xdr:rowOff>
    </xdr:from>
    <xdr:to>
      <xdr:col>0</xdr:col>
      <xdr:colOff>1607820</xdr:colOff>
      <xdr:row>23</xdr:row>
      <xdr:rowOff>129540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438651B6-C295-ADA7-876B-C21475DB924A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23</xdr:row>
      <xdr:rowOff>205740</xdr:rowOff>
    </xdr:from>
    <xdr:to>
      <xdr:col>0</xdr:col>
      <xdr:colOff>1607820</xdr:colOff>
      <xdr:row>25</xdr:row>
      <xdr:rowOff>175260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9A3E0B40-B1E0-0111-2CBC-5E18C301EE45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68580</xdr:rowOff>
    </xdr:from>
    <xdr:to>
      <xdr:col>0</xdr:col>
      <xdr:colOff>1607820</xdr:colOff>
      <xdr:row>28</xdr:row>
      <xdr:rowOff>83820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31181B7A-81A9-AF22-9AF0-D339669A10EF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28</xdr:row>
      <xdr:rowOff>160020</xdr:rowOff>
    </xdr:from>
    <xdr:to>
      <xdr:col>0</xdr:col>
      <xdr:colOff>1607820</xdr:colOff>
      <xdr:row>30</xdr:row>
      <xdr:rowOff>175260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8DB3EE4A-4153-15C5-1E86-4917B2D711C7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68580</xdr:rowOff>
    </xdr:from>
    <xdr:to>
      <xdr:col>0</xdr:col>
      <xdr:colOff>1607820</xdr:colOff>
      <xdr:row>33</xdr:row>
      <xdr:rowOff>83820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F6C8AACD-2300-D755-B916-B87B548D1372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104140</xdr:rowOff>
    </xdr:from>
    <xdr:to>
      <xdr:col>0</xdr:col>
      <xdr:colOff>1607820</xdr:colOff>
      <xdr:row>36</xdr:row>
      <xdr:rowOff>119380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275B4C6B-FA91-9387-6F05-C5EE65D8FEFE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830580</xdr:colOff>
      <xdr:row>20</xdr:row>
      <xdr:rowOff>381000</xdr:rowOff>
    </xdr:to>
    <xdr:sp macro="BuscarProdutoPDV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B30B4430-F306-6CB4-4AFD-8C8ED324AB7D}"/>
            </a:ext>
          </a:extLst>
        </xdr:cNvPr>
        <xdr:cNvSpPr/>
      </xdr:nvSpPr>
      <xdr:spPr>
        <a:xfrm>
          <a:off x="1783080" y="681228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Buscar</a:t>
          </a:r>
        </a:p>
      </xdr:txBody>
    </xdr:sp>
    <xdr:clientData/>
  </xdr:twoCellAnchor>
  <xdr:twoCellAnchor editAs="oneCell">
    <xdr:from>
      <xdr:col>2</xdr:col>
      <xdr:colOff>957580</xdr:colOff>
      <xdr:row>20</xdr:row>
      <xdr:rowOff>0</xdr:rowOff>
    </xdr:from>
    <xdr:to>
      <xdr:col>3</xdr:col>
      <xdr:colOff>828040</xdr:colOff>
      <xdr:row>20</xdr:row>
      <xdr:rowOff>381000</xdr:rowOff>
    </xdr:to>
    <xdr:sp macro="AdicionarProdut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5AD7CF0-13FD-72D7-765F-4D43C30EF592}"/>
            </a:ext>
          </a:extLst>
        </xdr:cNvPr>
        <xdr:cNvSpPr/>
      </xdr:nvSpPr>
      <xdr:spPr>
        <a:xfrm>
          <a:off x="2740660" y="681228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+ Carrinho</a:t>
          </a:r>
        </a:p>
      </xdr:txBody>
    </xdr:sp>
    <xdr:clientData/>
  </xdr:twoCellAnchor>
  <xdr:twoCellAnchor editAs="oneCell">
    <xdr:from>
      <xdr:col>3</xdr:col>
      <xdr:colOff>955040</xdr:colOff>
      <xdr:row>20</xdr:row>
      <xdr:rowOff>0</xdr:rowOff>
    </xdr:from>
    <xdr:to>
      <xdr:col>4</xdr:col>
      <xdr:colOff>688340</xdr:colOff>
      <xdr:row>20</xdr:row>
      <xdr:rowOff>381000</xdr:rowOff>
    </xdr:to>
    <xdr:sp macro="AdicionarKit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3AA5180F-3127-950F-26C2-4F7791D38608}"/>
            </a:ext>
          </a:extLst>
        </xdr:cNvPr>
        <xdr:cNvSpPr/>
      </xdr:nvSpPr>
      <xdr:spPr>
        <a:xfrm>
          <a:off x="3698240" y="681228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+ Kit</a:t>
          </a:r>
        </a:p>
      </xdr:txBody>
    </xdr:sp>
    <xdr:clientData/>
  </xdr:twoCellAnchor>
  <xdr:twoCellAnchor editAs="oneCell">
    <xdr:from>
      <xdr:col>4</xdr:col>
      <xdr:colOff>815340</xdr:colOff>
      <xdr:row>20</xdr:row>
      <xdr:rowOff>0</xdr:rowOff>
    </xdr:from>
    <xdr:to>
      <xdr:col>6</xdr:col>
      <xdr:colOff>0</xdr:colOff>
      <xdr:row>20</xdr:row>
      <xdr:rowOff>381000</xdr:rowOff>
    </xdr:to>
    <xdr:sp macro="RemoverProdut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A79B03FB-60C5-9320-EE69-719616DA7641}"/>
            </a:ext>
          </a:extLst>
        </xdr:cNvPr>
        <xdr:cNvSpPr/>
      </xdr:nvSpPr>
      <xdr:spPr>
        <a:xfrm>
          <a:off x="4655820" y="6812280"/>
          <a:ext cx="83058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FFFFFF"/>
              </a:solidFill>
              <a:latin typeface="Calibri" panose="020F0502020204030204" pitchFamily="34" charset="0"/>
            </a:rPr>
            <a:t>Remover</a:t>
          </a:r>
        </a:p>
      </xdr:txBody>
    </xdr:sp>
    <xdr:clientData/>
  </xdr:twoCellAnchor>
  <xdr:twoCellAnchor editAs="oneCell">
    <xdr:from>
      <xdr:col>2</xdr:col>
      <xdr:colOff>0</xdr:colOff>
      <xdr:row>21</xdr:row>
      <xdr:rowOff>50800</xdr:rowOff>
    </xdr:from>
    <xdr:to>
      <xdr:col>2</xdr:col>
      <xdr:colOff>830580</xdr:colOff>
      <xdr:row>21</xdr:row>
      <xdr:rowOff>431800</xdr:rowOff>
    </xdr:to>
    <xdr:sp macro="PDV_PIX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7E67BCCF-14D4-ACD9-4F2D-62118E13FC22}"/>
            </a:ext>
          </a:extLst>
        </xdr:cNvPr>
        <xdr:cNvSpPr/>
      </xdr:nvSpPr>
      <xdr:spPr>
        <a:xfrm>
          <a:off x="1783080" y="732028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PIX</a:t>
          </a:r>
        </a:p>
      </xdr:txBody>
    </xdr:sp>
    <xdr:clientData/>
  </xdr:twoCellAnchor>
  <xdr:twoCellAnchor editAs="oneCell">
    <xdr:from>
      <xdr:col>2</xdr:col>
      <xdr:colOff>957580</xdr:colOff>
      <xdr:row>21</xdr:row>
      <xdr:rowOff>50800</xdr:rowOff>
    </xdr:from>
    <xdr:to>
      <xdr:col>3</xdr:col>
      <xdr:colOff>828040</xdr:colOff>
      <xdr:row>21</xdr:row>
      <xdr:rowOff>431800</xdr:rowOff>
    </xdr:to>
    <xdr:sp macro="PDV_Cartao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51154BC-6999-4919-EFE9-6D4849E5F240}"/>
            </a:ext>
          </a:extLst>
        </xdr:cNvPr>
        <xdr:cNvSpPr/>
      </xdr:nvSpPr>
      <xdr:spPr>
        <a:xfrm>
          <a:off x="2740660" y="732028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Cartão</a:t>
          </a:r>
        </a:p>
      </xdr:txBody>
    </xdr:sp>
    <xdr:clientData/>
  </xdr:twoCellAnchor>
  <xdr:twoCellAnchor editAs="oneCell">
    <xdr:from>
      <xdr:col>3</xdr:col>
      <xdr:colOff>955040</xdr:colOff>
      <xdr:row>21</xdr:row>
      <xdr:rowOff>50800</xdr:rowOff>
    </xdr:from>
    <xdr:to>
      <xdr:col>4</xdr:col>
      <xdr:colOff>688340</xdr:colOff>
      <xdr:row>21</xdr:row>
      <xdr:rowOff>431800</xdr:rowOff>
    </xdr:to>
    <xdr:sp macro="PDV_Dinheiro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F692467A-3B1A-CDB1-9539-CF54104795E4}"/>
            </a:ext>
          </a:extLst>
        </xdr:cNvPr>
        <xdr:cNvSpPr/>
      </xdr:nvSpPr>
      <xdr:spPr>
        <a:xfrm>
          <a:off x="3698240" y="732028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Dinheiro</a:t>
          </a:r>
        </a:p>
      </xdr:txBody>
    </xdr:sp>
    <xdr:clientData/>
  </xdr:twoCellAnchor>
  <xdr:twoCellAnchor editAs="oneCell">
    <xdr:from>
      <xdr:col>4</xdr:col>
      <xdr:colOff>815340</xdr:colOff>
      <xdr:row>21</xdr:row>
      <xdr:rowOff>50800</xdr:rowOff>
    </xdr:from>
    <xdr:to>
      <xdr:col>6</xdr:col>
      <xdr:colOff>0</xdr:colOff>
      <xdr:row>21</xdr:row>
      <xdr:rowOff>431800</xdr:rowOff>
    </xdr:to>
    <xdr:sp macro="FinalizarVenda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3F90F235-7888-59EF-F516-17175F0D2667}"/>
            </a:ext>
          </a:extLst>
        </xdr:cNvPr>
        <xdr:cNvSpPr/>
      </xdr:nvSpPr>
      <xdr:spPr>
        <a:xfrm>
          <a:off x="4655820" y="732028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FINALIZAR</a:t>
          </a:r>
        </a:p>
      </xdr:txBody>
    </xdr:sp>
    <xdr:clientData/>
  </xdr:twoCellAnchor>
  <xdr:twoCellAnchor editAs="oneCell">
    <xdr:from>
      <xdr:col>2</xdr:col>
      <xdr:colOff>0</xdr:colOff>
      <xdr:row>22</xdr:row>
      <xdr:rowOff>101600</xdr:rowOff>
    </xdr:from>
    <xdr:to>
      <xdr:col>2</xdr:col>
      <xdr:colOff>830580</xdr:colOff>
      <xdr:row>23</xdr:row>
      <xdr:rowOff>55880</xdr:rowOff>
    </xdr:to>
    <xdr:sp macro="NovaVenda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54B891A3-0E38-EC13-4505-5FAD1517BA77}"/>
            </a:ext>
          </a:extLst>
        </xdr:cNvPr>
        <xdr:cNvSpPr/>
      </xdr:nvSpPr>
      <xdr:spPr>
        <a:xfrm>
          <a:off x="1783080" y="782828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Nova</a:t>
          </a:r>
        </a:p>
      </xdr:txBody>
    </xdr:sp>
    <xdr:clientData/>
  </xdr:twoCellAnchor>
  <xdr:twoCellAnchor editAs="oneCell">
    <xdr:from>
      <xdr:col>2</xdr:col>
      <xdr:colOff>957580</xdr:colOff>
      <xdr:row>22</xdr:row>
      <xdr:rowOff>101600</xdr:rowOff>
    </xdr:from>
    <xdr:to>
      <xdr:col>3</xdr:col>
      <xdr:colOff>828040</xdr:colOff>
      <xdr:row>23</xdr:row>
      <xdr:rowOff>55880</xdr:rowOff>
    </xdr:to>
    <xdr:sp macro="CancelarVenda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A6E5F94F-132C-2CCE-B62E-AA5C765AF303}"/>
            </a:ext>
          </a:extLst>
        </xdr:cNvPr>
        <xdr:cNvSpPr/>
      </xdr:nvSpPr>
      <xdr:spPr>
        <a:xfrm>
          <a:off x="2740660" y="7828280"/>
          <a:ext cx="83058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FFFFFF"/>
              </a:solidFill>
              <a:latin typeface="Calibri" panose="020F0502020204030204" pitchFamily="34" charset="0"/>
            </a:rPr>
            <a:t>Cancelar</a:t>
          </a:r>
        </a:p>
      </xdr:txBody>
    </xdr:sp>
    <xdr:clientData/>
  </xdr:twoCellAnchor>
  <xdr:twoCellAnchor editAs="oneCell">
    <xdr:from>
      <xdr:col>3</xdr:col>
      <xdr:colOff>955040</xdr:colOff>
      <xdr:row>22</xdr:row>
      <xdr:rowOff>101600</xdr:rowOff>
    </xdr:from>
    <xdr:to>
      <xdr:col>4</xdr:col>
      <xdr:colOff>688340</xdr:colOff>
      <xdr:row>23</xdr:row>
      <xdr:rowOff>55880</xdr:rowOff>
    </xdr:to>
    <xdr:sp macro="IrDashPDV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AEB3FD8A-4E01-020E-5CCA-F7CD8B98F5FD}"/>
            </a:ext>
          </a:extLst>
        </xdr:cNvPr>
        <xdr:cNvSpPr/>
      </xdr:nvSpPr>
      <xdr:spPr>
        <a:xfrm>
          <a:off x="3698240" y="782828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Dash</a:t>
          </a:r>
        </a:p>
      </xdr:txBody>
    </xdr:sp>
    <xdr:clientData/>
  </xdr:twoCellAnchor>
  <xdr:twoCellAnchor editAs="oneCell">
    <xdr:from>
      <xdr:col>4</xdr:col>
      <xdr:colOff>815340</xdr:colOff>
      <xdr:row>22</xdr:row>
      <xdr:rowOff>101600</xdr:rowOff>
    </xdr:from>
    <xdr:to>
      <xdr:col>6</xdr:col>
      <xdr:colOff>0</xdr:colOff>
      <xdr:row>23</xdr:row>
      <xdr:rowOff>55880</xdr:rowOff>
    </xdr:to>
    <xdr:sp macro="IrEstoque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1FF5CD8-2F8F-66CA-0377-C4A4CC74E0BC}"/>
            </a:ext>
          </a:extLst>
        </xdr:cNvPr>
        <xdr:cNvSpPr/>
      </xdr:nvSpPr>
      <xdr:spPr>
        <a:xfrm>
          <a:off x="4655820" y="782828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Estoque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3570EF59-9E00-7B81-9721-97D0557C31A1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5B7D4BBE-0847-44A8-7A8E-335A39266243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ABFB7C65-E53B-0500-A62E-D5EB153E92FD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9FC5BAAC-A8D2-4793-2BBB-C12745445A7A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E4D0908D-BA6E-9D4C-4017-CDDCEEB2FE0A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7534C06F-E046-08EB-E0F7-2AF28AADCF4B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ED9DDD73-4E32-A849-A139-A0775017C23E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5A3D909F-F06B-8F60-AEA7-F127E815807E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B7250526-2DE5-26C0-E00C-6E713357DFE3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0815A932-7620-7710-0E1C-F7628A0D514C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7E036DBF-7969-23D9-2D0F-1F18A8682948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D07DE768-A24C-5AF9-C547-FF818D383D19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3F9AA1D9-CC46-EFED-F01E-B62EB4E97F46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D0D8B1AE-D79B-9BD3-C5DF-36F97963F8B6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C225919A-E071-080C-D05C-6DB6D6BA0582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24</xdr:row>
      <xdr:rowOff>7620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0B3B39C0-9483-1634-3D2B-C08244BB24CE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83820</xdr:rowOff>
    </xdr:from>
    <xdr:to>
      <xdr:col>0</xdr:col>
      <xdr:colOff>1607820</xdr:colOff>
      <xdr:row>26</xdr:row>
      <xdr:rowOff>99060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4E6027E4-ECBC-D000-B04E-BCFB67A36F1F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175260</xdr:rowOff>
    </xdr:from>
    <xdr:to>
      <xdr:col>0</xdr:col>
      <xdr:colOff>1607820</xdr:colOff>
      <xdr:row>29</xdr:row>
      <xdr:rowOff>7620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571DE66A-547A-25CD-5FDE-7DBD8677B58C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83820</xdr:rowOff>
    </xdr:from>
    <xdr:to>
      <xdr:col>0</xdr:col>
      <xdr:colOff>1607820</xdr:colOff>
      <xdr:row>30</xdr:row>
      <xdr:rowOff>7620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B440F46E-29C4-8853-83A1-8F43BDDD9A9C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30</xdr:row>
      <xdr:rowOff>83820</xdr:rowOff>
    </xdr:from>
    <xdr:to>
      <xdr:col>0</xdr:col>
      <xdr:colOff>1607820</xdr:colOff>
      <xdr:row>32</xdr:row>
      <xdr:rowOff>99060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323712C8-444D-8AE9-1237-5D9AF60DA53E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33</xdr:row>
      <xdr:rowOff>119380</xdr:rowOff>
    </xdr:from>
    <xdr:to>
      <xdr:col>0</xdr:col>
      <xdr:colOff>1607820</xdr:colOff>
      <xdr:row>35</xdr:row>
      <xdr:rowOff>134620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B27D5E9D-2ABE-98D3-07F9-2B331897B7B1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3</xdr:col>
      <xdr:colOff>7620</xdr:colOff>
      <xdr:row>29</xdr:row>
      <xdr:rowOff>381000</xdr:rowOff>
    </xdr:to>
    <xdr:sp macro="Inventari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6FD493B9-E492-4979-D23B-03160BD44511}"/>
            </a:ext>
          </a:extLst>
        </xdr:cNvPr>
        <xdr:cNvSpPr/>
      </xdr:nvSpPr>
      <xdr:spPr>
        <a:xfrm>
          <a:off x="1783080" y="918972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Carregar</a:t>
          </a:r>
        </a:p>
      </xdr:txBody>
    </xdr:sp>
    <xdr:clientData/>
  </xdr:twoCellAnchor>
  <xdr:twoCellAnchor editAs="oneCell">
    <xdr:from>
      <xdr:col>3</xdr:col>
      <xdr:colOff>134620</xdr:colOff>
      <xdr:row>29</xdr:row>
      <xdr:rowOff>0</xdr:rowOff>
    </xdr:from>
    <xdr:to>
      <xdr:col>3</xdr:col>
      <xdr:colOff>965200</xdr:colOff>
      <xdr:row>29</xdr:row>
      <xdr:rowOff>381000</xdr:rowOff>
    </xdr:to>
    <xdr:sp macro="FinalizarInventar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BEB45AD1-F8CE-DA08-883F-AF5BDAD4587A}"/>
            </a:ext>
          </a:extLst>
        </xdr:cNvPr>
        <xdr:cNvSpPr/>
      </xdr:nvSpPr>
      <xdr:spPr>
        <a:xfrm>
          <a:off x="2740660" y="918972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Finalizar</a:t>
          </a:r>
        </a:p>
      </xdr:txBody>
    </xdr:sp>
    <xdr:clientData/>
  </xdr:twoCellAnchor>
  <xdr:twoCellAnchor editAs="oneCell">
    <xdr:from>
      <xdr:col>3</xdr:col>
      <xdr:colOff>1092200</xdr:colOff>
      <xdr:row>29</xdr:row>
      <xdr:rowOff>0</xdr:rowOff>
    </xdr:from>
    <xdr:to>
      <xdr:col>4</xdr:col>
      <xdr:colOff>414020</xdr:colOff>
      <xdr:row>29</xdr:row>
      <xdr:rowOff>381000</xdr:rowOff>
    </xdr:to>
    <xdr:sp macro="IrEstoqu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5E5B2D48-C653-9252-615E-694CFB1537D4}"/>
            </a:ext>
          </a:extLst>
        </xdr:cNvPr>
        <xdr:cNvSpPr/>
      </xdr:nvSpPr>
      <xdr:spPr>
        <a:xfrm>
          <a:off x="3698240" y="918972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Estoque</a:t>
          </a:r>
        </a:p>
      </xdr:txBody>
    </xdr:sp>
    <xdr:clientData/>
  </xdr:twoCellAnchor>
  <xdr:twoCellAnchor editAs="oneCell">
    <xdr:from>
      <xdr:col>4</xdr:col>
      <xdr:colOff>541020</xdr:colOff>
      <xdr:row>29</xdr:row>
      <xdr:rowOff>0</xdr:rowOff>
    </xdr:from>
    <xdr:to>
      <xdr:col>6</xdr:col>
      <xdr:colOff>0</xdr:colOff>
      <xdr:row>29</xdr:row>
      <xdr:rowOff>381000</xdr:rowOff>
    </xdr:to>
    <xdr:sp macro="IrHome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7D44FF7B-0E40-58A6-9FD3-828D431589D7}"/>
            </a:ext>
          </a:extLst>
        </xdr:cNvPr>
        <xdr:cNvSpPr/>
      </xdr:nvSpPr>
      <xdr:spPr>
        <a:xfrm>
          <a:off x="4655820" y="9189720"/>
          <a:ext cx="8305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6E0AC543-4CE9-1D11-3B2B-9AF90AE5585D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E8D21B4C-CA39-6154-4AE6-B31FD0A0E883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7590F735-0032-60DF-535F-F1716EF6DAD4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11</xdr:row>
      <xdr:rowOff>53340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C559B9B7-11DC-5282-A15F-34895EAE295D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129540</xdr:rowOff>
    </xdr:from>
    <xdr:to>
      <xdr:col>0</xdr:col>
      <xdr:colOff>1607820</xdr:colOff>
      <xdr:row>13</xdr:row>
      <xdr:rowOff>60960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F370ECC3-B859-1AA9-6278-FEA989200EE1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137160</xdr:rowOff>
    </xdr:from>
    <xdr:to>
      <xdr:col>0</xdr:col>
      <xdr:colOff>1607820</xdr:colOff>
      <xdr:row>14</xdr:row>
      <xdr:rowOff>91440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F040AB2E-6F72-E560-3683-5D49F3796889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14</xdr:row>
      <xdr:rowOff>167640</xdr:rowOff>
    </xdr:from>
    <xdr:to>
      <xdr:col>0</xdr:col>
      <xdr:colOff>1607820</xdr:colOff>
      <xdr:row>15</xdr:row>
      <xdr:rowOff>121920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E5036B80-9C1C-721A-84D7-6F6DFC1CD9F5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198120</xdr:rowOff>
    </xdr:from>
    <xdr:to>
      <xdr:col>0</xdr:col>
      <xdr:colOff>1607820</xdr:colOff>
      <xdr:row>16</xdr:row>
      <xdr:rowOff>152400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ED8FEE1B-7DA2-9F10-8AF5-F2DF3B65CF59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228600</xdr:rowOff>
    </xdr:from>
    <xdr:to>
      <xdr:col>0</xdr:col>
      <xdr:colOff>1607820</xdr:colOff>
      <xdr:row>17</xdr:row>
      <xdr:rowOff>182880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F4C2BB5E-0B43-A071-9852-B7E339756AC0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259080</xdr:rowOff>
    </xdr:from>
    <xdr:to>
      <xdr:col>0</xdr:col>
      <xdr:colOff>1607820</xdr:colOff>
      <xdr:row>18</xdr:row>
      <xdr:rowOff>213360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BA56E19D-AA9F-B0AA-E805-8A0257717F58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289560</xdr:rowOff>
    </xdr:from>
    <xdr:to>
      <xdr:col>0</xdr:col>
      <xdr:colOff>1607820</xdr:colOff>
      <xdr:row>19</xdr:row>
      <xdr:rowOff>243840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EF8CC8AF-BA51-4C76-47BD-7D98CF1B9379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320040</xdr:rowOff>
    </xdr:from>
    <xdr:to>
      <xdr:col>0</xdr:col>
      <xdr:colOff>1607820</xdr:colOff>
      <xdr:row>20</xdr:row>
      <xdr:rowOff>274320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52F36846-D506-0C01-A3BE-DA0B5CEAC5EF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350520</xdr:rowOff>
    </xdr:from>
    <xdr:to>
      <xdr:col>0</xdr:col>
      <xdr:colOff>1607820</xdr:colOff>
      <xdr:row>21</xdr:row>
      <xdr:rowOff>304800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22066CCA-BC19-2BEB-8BE3-91DD2C32EB19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381000</xdr:rowOff>
    </xdr:from>
    <xdr:to>
      <xdr:col>0</xdr:col>
      <xdr:colOff>1607820</xdr:colOff>
      <xdr:row>22</xdr:row>
      <xdr:rowOff>335280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78CE60E3-7B60-2152-DC1E-2517C05C9C1C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411480</xdr:rowOff>
    </xdr:from>
    <xdr:to>
      <xdr:col>0</xdr:col>
      <xdr:colOff>1607820</xdr:colOff>
      <xdr:row>25</xdr:row>
      <xdr:rowOff>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37C68C24-A6C4-CEB9-9FC7-563861901527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25</xdr:row>
      <xdr:rowOff>76200</xdr:rowOff>
    </xdr:from>
    <xdr:to>
      <xdr:col>0</xdr:col>
      <xdr:colOff>1607820</xdr:colOff>
      <xdr:row>27</xdr:row>
      <xdr:rowOff>91440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CC80AE61-F153-A54B-19F5-040FDD4C9F79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27</xdr:row>
      <xdr:rowOff>167640</xdr:rowOff>
    </xdr:from>
    <xdr:to>
      <xdr:col>0</xdr:col>
      <xdr:colOff>1607820</xdr:colOff>
      <xdr:row>29</xdr:row>
      <xdr:rowOff>137160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4FF6F3BF-1C46-3ACC-F6FB-3281B30A0A73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30</xdr:row>
      <xdr:rowOff>30480</xdr:rowOff>
    </xdr:from>
    <xdr:to>
      <xdr:col>0</xdr:col>
      <xdr:colOff>1607820</xdr:colOff>
      <xdr:row>32</xdr:row>
      <xdr:rowOff>45720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AB550AC2-C8FB-0C40-EA7B-D5D8D05E16A0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32</xdr:row>
      <xdr:rowOff>121920</xdr:rowOff>
    </xdr:from>
    <xdr:to>
      <xdr:col>0</xdr:col>
      <xdr:colOff>1607820</xdr:colOff>
      <xdr:row>34</xdr:row>
      <xdr:rowOff>137160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314A28BA-76EB-ED15-463C-07E6D54C912F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35</xdr:row>
      <xdr:rowOff>30480</xdr:rowOff>
    </xdr:from>
    <xdr:to>
      <xdr:col>0</xdr:col>
      <xdr:colOff>1607820</xdr:colOff>
      <xdr:row>37</xdr:row>
      <xdr:rowOff>45720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6E349013-96FE-5FE2-AEB2-ED74D56BDFF1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38</xdr:row>
      <xdr:rowOff>66040</xdr:rowOff>
    </xdr:from>
    <xdr:to>
      <xdr:col>0</xdr:col>
      <xdr:colOff>1607820</xdr:colOff>
      <xdr:row>40</xdr:row>
      <xdr:rowOff>81280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57C2D8CF-EFC6-7C9F-5253-DE11682CD32A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762000</xdr:colOff>
      <xdr:row>40</xdr:row>
      <xdr:rowOff>15240</xdr:rowOff>
    </xdr:to>
    <xdr:sp macro="AtualizarDashboardEstoquePDV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A1923AD-D3F4-355E-32D1-08980BF1589E}"/>
            </a:ext>
          </a:extLst>
        </xdr:cNvPr>
        <xdr:cNvSpPr/>
      </xdr:nvSpPr>
      <xdr:spPr>
        <a:xfrm>
          <a:off x="1783080" y="1024890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2</xdr:col>
      <xdr:colOff>889000</xdr:colOff>
      <xdr:row>38</xdr:row>
      <xdr:rowOff>0</xdr:rowOff>
    </xdr:from>
    <xdr:to>
      <xdr:col>3</xdr:col>
      <xdr:colOff>690880</xdr:colOff>
      <xdr:row>40</xdr:row>
      <xdr:rowOff>15240</xdr:rowOff>
    </xdr:to>
    <xdr:sp macro="IrPDV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CE8F4BE9-4CD0-DE82-FC6E-6A27FC5B2716}"/>
            </a:ext>
          </a:extLst>
        </xdr:cNvPr>
        <xdr:cNvSpPr/>
      </xdr:nvSpPr>
      <xdr:spPr>
        <a:xfrm>
          <a:off x="2672080" y="1024890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PDV</a:t>
          </a:r>
        </a:p>
      </xdr:txBody>
    </xdr:sp>
    <xdr:clientData/>
  </xdr:twoCellAnchor>
  <xdr:twoCellAnchor editAs="oneCell">
    <xdr:from>
      <xdr:col>3</xdr:col>
      <xdr:colOff>817880</xdr:colOff>
      <xdr:row>38</xdr:row>
      <xdr:rowOff>0</xdr:rowOff>
    </xdr:from>
    <xdr:to>
      <xdr:col>4</xdr:col>
      <xdr:colOff>756920</xdr:colOff>
      <xdr:row>40</xdr:row>
      <xdr:rowOff>15240</xdr:rowOff>
    </xdr:to>
    <xdr:sp macro="IrEstoqu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BE2410B0-0C3D-ADB8-8FA3-08C953FF1B95}"/>
            </a:ext>
          </a:extLst>
        </xdr:cNvPr>
        <xdr:cNvSpPr/>
      </xdr:nvSpPr>
      <xdr:spPr>
        <a:xfrm>
          <a:off x="3561080" y="1024890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Estoque</a:t>
          </a:r>
        </a:p>
      </xdr:txBody>
    </xdr:sp>
    <xdr:clientData/>
  </xdr:twoCellAnchor>
  <xdr:twoCellAnchor editAs="oneCell">
    <xdr:from>
      <xdr:col>5</xdr:col>
      <xdr:colOff>60960</xdr:colOff>
      <xdr:row>38</xdr:row>
      <xdr:rowOff>0</xdr:rowOff>
    </xdr:from>
    <xdr:to>
      <xdr:col>6</xdr:col>
      <xdr:colOff>0</xdr:colOff>
      <xdr:row>40</xdr:row>
      <xdr:rowOff>15240</xdr:rowOff>
    </xdr:to>
    <xdr:sp macro="IrHome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A7D5875D-EE6E-3669-1955-3EE8F0D7DDF9}"/>
            </a:ext>
          </a:extLst>
        </xdr:cNvPr>
        <xdr:cNvSpPr/>
      </xdr:nvSpPr>
      <xdr:spPr>
        <a:xfrm>
          <a:off x="4450080" y="1024890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E0399F83-100F-8829-3850-09A9C05CD5A7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36D2BA87-C0DE-9A99-7F63-279856FE696B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22A78713-FD6F-03C2-3D87-62F252C0801C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11</xdr:row>
      <xdr:rowOff>53340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A5CFAECF-53C9-2A30-17CF-4BF6E251D35F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129540</xdr:rowOff>
    </xdr:from>
    <xdr:to>
      <xdr:col>0</xdr:col>
      <xdr:colOff>1607820</xdr:colOff>
      <xdr:row>13</xdr:row>
      <xdr:rowOff>60960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CC5C24F9-C3E8-512E-5DFE-EAB329748F95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137160</xdr:rowOff>
    </xdr:from>
    <xdr:to>
      <xdr:col>0</xdr:col>
      <xdr:colOff>1607820</xdr:colOff>
      <xdr:row>14</xdr:row>
      <xdr:rowOff>91440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78CF9061-AF42-7328-97E9-C128CE051810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14</xdr:row>
      <xdr:rowOff>167640</xdr:rowOff>
    </xdr:from>
    <xdr:to>
      <xdr:col>0</xdr:col>
      <xdr:colOff>1607820</xdr:colOff>
      <xdr:row>16</xdr:row>
      <xdr:rowOff>99060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29875676-23E0-991E-FB22-51847524027E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175260</xdr:rowOff>
    </xdr:from>
    <xdr:to>
      <xdr:col>0</xdr:col>
      <xdr:colOff>1607820</xdr:colOff>
      <xdr:row>17</xdr:row>
      <xdr:rowOff>358140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E2BDADF2-89B4-551A-D237-65FC4ECB8517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7620</xdr:rowOff>
    </xdr:from>
    <xdr:to>
      <xdr:col>0</xdr:col>
      <xdr:colOff>1607820</xdr:colOff>
      <xdr:row>18</xdr:row>
      <xdr:rowOff>388620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419E734C-7BB9-911D-793F-DB9B43A7C9DA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38100</xdr:rowOff>
    </xdr:from>
    <xdr:to>
      <xdr:col>0</xdr:col>
      <xdr:colOff>1607820</xdr:colOff>
      <xdr:row>19</xdr:row>
      <xdr:rowOff>419100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52322031-6465-6CE9-3BD8-9E64A5AD2412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68580</xdr:rowOff>
    </xdr:from>
    <xdr:to>
      <xdr:col>0</xdr:col>
      <xdr:colOff>1607820</xdr:colOff>
      <xdr:row>21</xdr:row>
      <xdr:rowOff>22860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E68BB0E6-B728-620B-16E3-A5DBFEA3148C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99060</xdr:rowOff>
    </xdr:from>
    <xdr:to>
      <xdr:col>0</xdr:col>
      <xdr:colOff>1607820</xdr:colOff>
      <xdr:row>22</xdr:row>
      <xdr:rowOff>53340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1BC6661D-AF7D-77D3-F9EE-81479760CFE3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129540</xdr:rowOff>
    </xdr:from>
    <xdr:to>
      <xdr:col>0</xdr:col>
      <xdr:colOff>1607820</xdr:colOff>
      <xdr:row>23</xdr:row>
      <xdr:rowOff>83820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A525F7C6-1D32-73E7-F1EC-5D1759F29146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23</xdr:row>
      <xdr:rowOff>160020</xdr:rowOff>
    </xdr:from>
    <xdr:to>
      <xdr:col>0</xdr:col>
      <xdr:colOff>1607820</xdr:colOff>
      <xdr:row>25</xdr:row>
      <xdr:rowOff>175260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113E6E5F-3BF5-B1E9-2850-F0CF311BFF6F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68580</xdr:rowOff>
    </xdr:from>
    <xdr:to>
      <xdr:col>0</xdr:col>
      <xdr:colOff>1607820</xdr:colOff>
      <xdr:row>28</xdr:row>
      <xdr:rowOff>38100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9CD38814-1C4A-4BBE-9CCC-CE76102FD6D0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28</xdr:row>
      <xdr:rowOff>114300</xdr:rowOff>
    </xdr:from>
    <xdr:to>
      <xdr:col>0</xdr:col>
      <xdr:colOff>1607820</xdr:colOff>
      <xdr:row>30</xdr:row>
      <xdr:rowOff>129540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BDFB3A97-369B-9288-1B6C-F5F69EDC95B3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22860</xdr:rowOff>
    </xdr:from>
    <xdr:to>
      <xdr:col>0</xdr:col>
      <xdr:colOff>1607820</xdr:colOff>
      <xdr:row>33</xdr:row>
      <xdr:rowOff>38100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536D1832-8A4C-53C1-EEF4-80988036A3B9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33</xdr:row>
      <xdr:rowOff>114300</xdr:rowOff>
    </xdr:from>
    <xdr:to>
      <xdr:col>0</xdr:col>
      <xdr:colOff>1607820</xdr:colOff>
      <xdr:row>35</xdr:row>
      <xdr:rowOff>129540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23EBBAF3-7D2D-CAD8-2EDD-ABFA88DB0246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36</xdr:row>
      <xdr:rowOff>22860</xdr:rowOff>
    </xdr:from>
    <xdr:to>
      <xdr:col>0</xdr:col>
      <xdr:colOff>1607820</xdr:colOff>
      <xdr:row>37</xdr:row>
      <xdr:rowOff>220980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B1F3ACB2-B981-7640-B722-2C5739B5B675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38</xdr:row>
      <xdr:rowOff>68580</xdr:rowOff>
    </xdr:from>
    <xdr:to>
      <xdr:col>0</xdr:col>
      <xdr:colOff>1607820</xdr:colOff>
      <xdr:row>40</xdr:row>
      <xdr:rowOff>83820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59A518EF-A26B-54AE-CE8B-FB772103ECDD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41</xdr:row>
      <xdr:rowOff>104140</xdr:rowOff>
    </xdr:from>
    <xdr:to>
      <xdr:col>0</xdr:col>
      <xdr:colOff>1607820</xdr:colOff>
      <xdr:row>43</xdr:row>
      <xdr:rowOff>119380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5C613085-A6DD-3EB7-9865-71777F16D7D5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762000</xdr:colOff>
      <xdr:row>48</xdr:row>
      <xdr:rowOff>15240</xdr:rowOff>
    </xdr:to>
    <xdr:sp macro="AtualizarBI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42635855-7AE8-94B7-B4CD-6AFD0CAA8154}"/>
            </a:ext>
          </a:extLst>
        </xdr:cNvPr>
        <xdr:cNvSpPr/>
      </xdr:nvSpPr>
      <xdr:spPr>
        <a:xfrm>
          <a:off x="1783080" y="1112520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 BI</a:t>
          </a:r>
        </a:p>
      </xdr:txBody>
    </xdr:sp>
    <xdr:clientData/>
  </xdr:twoCellAnchor>
  <xdr:twoCellAnchor editAs="oneCell">
    <xdr:from>
      <xdr:col>2</xdr:col>
      <xdr:colOff>889000</xdr:colOff>
      <xdr:row>46</xdr:row>
      <xdr:rowOff>0</xdr:rowOff>
    </xdr:from>
    <xdr:to>
      <xdr:col>3</xdr:col>
      <xdr:colOff>690880</xdr:colOff>
      <xdr:row>48</xdr:row>
      <xdr:rowOff>15240</xdr:rowOff>
    </xdr:to>
    <xdr:sp macro="IrInsights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62AD8F40-86FB-A173-4E82-A317FD4C5F7C}"/>
            </a:ext>
          </a:extLst>
        </xdr:cNvPr>
        <xdr:cNvSpPr/>
      </xdr:nvSpPr>
      <xdr:spPr>
        <a:xfrm>
          <a:off x="2672080" y="1112520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Insights</a:t>
          </a:r>
        </a:p>
      </xdr:txBody>
    </xdr:sp>
    <xdr:clientData/>
  </xdr:twoCellAnchor>
  <xdr:twoCellAnchor editAs="oneCell">
    <xdr:from>
      <xdr:col>3</xdr:col>
      <xdr:colOff>817880</xdr:colOff>
      <xdr:row>46</xdr:row>
      <xdr:rowOff>0</xdr:rowOff>
    </xdr:from>
    <xdr:to>
      <xdr:col>4</xdr:col>
      <xdr:colOff>756920</xdr:colOff>
      <xdr:row>48</xdr:row>
      <xdr:rowOff>15240</xdr:rowOff>
    </xdr:to>
    <xdr:sp macro="IrDashboard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24FB1A28-E757-BEFB-6D49-CA0921874DAB}"/>
            </a:ext>
          </a:extLst>
        </xdr:cNvPr>
        <xdr:cNvSpPr/>
      </xdr:nvSpPr>
      <xdr:spPr>
        <a:xfrm>
          <a:off x="3561080" y="1112520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Dashboard</a:t>
          </a:r>
        </a:p>
      </xdr:txBody>
    </xdr:sp>
    <xdr:clientData/>
  </xdr:twoCellAnchor>
  <xdr:twoCellAnchor editAs="oneCell">
    <xdr:from>
      <xdr:col>5</xdr:col>
      <xdr:colOff>60960</xdr:colOff>
      <xdr:row>46</xdr:row>
      <xdr:rowOff>0</xdr:rowOff>
    </xdr:from>
    <xdr:to>
      <xdr:col>6</xdr:col>
      <xdr:colOff>0</xdr:colOff>
      <xdr:row>48</xdr:row>
      <xdr:rowOff>15240</xdr:rowOff>
    </xdr:to>
    <xdr:sp macro="IrHome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9A9AFCF8-7675-8CBC-AB71-FD6F56144BC9}"/>
            </a:ext>
          </a:extLst>
        </xdr:cNvPr>
        <xdr:cNvSpPr/>
      </xdr:nvSpPr>
      <xdr:spPr>
        <a:xfrm>
          <a:off x="4450080" y="1112520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448E0919-B5C9-95AE-343A-00FFA00410D5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6</xdr:row>
      <xdr:rowOff>411480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661F3F4F-EFF8-6376-DAA6-E2E62D1DA4D6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7</xdr:row>
      <xdr:rowOff>60960</xdr:rowOff>
    </xdr:from>
    <xdr:to>
      <xdr:col>0</xdr:col>
      <xdr:colOff>1607820</xdr:colOff>
      <xdr:row>8</xdr:row>
      <xdr:rowOff>15240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4A633641-CC81-5CCF-2580-A708373EE24D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91440</xdr:rowOff>
    </xdr:from>
    <xdr:to>
      <xdr:col>0</xdr:col>
      <xdr:colOff>1607820</xdr:colOff>
      <xdr:row>9</xdr:row>
      <xdr:rowOff>45720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C5B216D2-0815-E89E-8E32-AF27142FCA1B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121920</xdr:rowOff>
    </xdr:from>
    <xdr:to>
      <xdr:col>0</xdr:col>
      <xdr:colOff>1607820</xdr:colOff>
      <xdr:row>10</xdr:row>
      <xdr:rowOff>76200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2342D000-288E-1524-0737-150A8BBE22E8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152400</xdr:rowOff>
    </xdr:from>
    <xdr:to>
      <xdr:col>0</xdr:col>
      <xdr:colOff>1607820</xdr:colOff>
      <xdr:row>11</xdr:row>
      <xdr:rowOff>106680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39273262-C598-377A-5467-A17245A29AE4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182880</xdr:rowOff>
    </xdr:from>
    <xdr:to>
      <xdr:col>0</xdr:col>
      <xdr:colOff>1607820</xdr:colOff>
      <xdr:row>12</xdr:row>
      <xdr:rowOff>137160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82CF8100-2724-C18A-CFD4-4EF2CAB20973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213360</xdr:rowOff>
    </xdr:from>
    <xdr:to>
      <xdr:col>0</xdr:col>
      <xdr:colOff>1607820</xdr:colOff>
      <xdr:row>13</xdr:row>
      <xdr:rowOff>167640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5B37BC29-3F55-61D8-508F-5F24326B4440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243840</xdr:rowOff>
    </xdr:from>
    <xdr:to>
      <xdr:col>0</xdr:col>
      <xdr:colOff>1607820</xdr:colOff>
      <xdr:row>14</xdr:row>
      <xdr:rowOff>198120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9371ABB5-2608-32F7-9853-7FDC4232A84C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14</xdr:row>
      <xdr:rowOff>274320</xdr:rowOff>
    </xdr:from>
    <xdr:to>
      <xdr:col>0</xdr:col>
      <xdr:colOff>1607820</xdr:colOff>
      <xdr:row>15</xdr:row>
      <xdr:rowOff>228600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555C9D67-D1E6-7863-103E-B3B96AA02949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304800</xdr:rowOff>
    </xdr:from>
    <xdr:to>
      <xdr:col>0</xdr:col>
      <xdr:colOff>1607820</xdr:colOff>
      <xdr:row>16</xdr:row>
      <xdr:rowOff>259080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A930ECA0-3FBA-DB0B-0E55-FE7F5A836D48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335280</xdr:rowOff>
    </xdr:from>
    <xdr:to>
      <xdr:col>0</xdr:col>
      <xdr:colOff>1607820</xdr:colOff>
      <xdr:row>17</xdr:row>
      <xdr:rowOff>289560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082D179C-A22D-9B4A-557E-E856AEFC2251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365760</xdr:rowOff>
    </xdr:from>
    <xdr:to>
      <xdr:col>0</xdr:col>
      <xdr:colOff>1607820</xdr:colOff>
      <xdr:row>18</xdr:row>
      <xdr:rowOff>320040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877BB364-B884-6BEA-8699-5DF2184D2EDC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396240</xdr:rowOff>
    </xdr:from>
    <xdr:to>
      <xdr:col>0</xdr:col>
      <xdr:colOff>1607820</xdr:colOff>
      <xdr:row>19</xdr:row>
      <xdr:rowOff>350520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7B9D48F3-CFB8-477E-AF27-87E9C6F0A576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0</xdr:rowOff>
    </xdr:from>
    <xdr:to>
      <xdr:col>0</xdr:col>
      <xdr:colOff>1607820</xdr:colOff>
      <xdr:row>20</xdr:row>
      <xdr:rowOff>381000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02640017-3C6A-5749-79C2-5C3D3F39FA2C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30480</xdr:rowOff>
    </xdr:from>
    <xdr:to>
      <xdr:col>0</xdr:col>
      <xdr:colOff>1607820</xdr:colOff>
      <xdr:row>21</xdr:row>
      <xdr:rowOff>411480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DE3B8EC3-A0AB-1CCE-8BA9-18ACED4570E5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60960</xdr:rowOff>
    </xdr:from>
    <xdr:to>
      <xdr:col>0</xdr:col>
      <xdr:colOff>1607820</xdr:colOff>
      <xdr:row>23</xdr:row>
      <xdr:rowOff>15240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1D623002-CDE5-EBB1-22A5-426E832996E2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23</xdr:row>
      <xdr:rowOff>91440</xdr:rowOff>
    </xdr:from>
    <xdr:to>
      <xdr:col>0</xdr:col>
      <xdr:colOff>1607820</xdr:colOff>
      <xdr:row>25</xdr:row>
      <xdr:rowOff>106680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EA4539ED-3DFA-75C8-E526-666E06F23DF5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0</xdr:rowOff>
    </xdr:from>
    <xdr:to>
      <xdr:col>0</xdr:col>
      <xdr:colOff>1607820</xdr:colOff>
      <xdr:row>27</xdr:row>
      <xdr:rowOff>198120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0E924244-96BC-2890-E034-BF2397322099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28</xdr:row>
      <xdr:rowOff>45720</xdr:rowOff>
    </xdr:from>
    <xdr:to>
      <xdr:col>0</xdr:col>
      <xdr:colOff>1607820</xdr:colOff>
      <xdr:row>30</xdr:row>
      <xdr:rowOff>60960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DADC5908-9B3E-79FF-BFE0-DBDC287A4AEC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66040</xdr:rowOff>
    </xdr:from>
    <xdr:to>
      <xdr:col>0</xdr:col>
      <xdr:colOff>1607820</xdr:colOff>
      <xdr:row>33</xdr:row>
      <xdr:rowOff>81280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A5D1DEB9-ECD0-0074-8789-3DD0764C9BDF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796290</xdr:colOff>
      <xdr:row>33</xdr:row>
      <xdr:rowOff>381000</xdr:rowOff>
    </xdr:to>
    <xdr:sp macro="AtualizarInteligenciaAnalitica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58C29ABA-194F-050C-5176-46966C924284}"/>
            </a:ext>
          </a:extLst>
        </xdr:cNvPr>
        <xdr:cNvSpPr/>
      </xdr:nvSpPr>
      <xdr:spPr>
        <a:xfrm>
          <a:off x="1783080" y="1061466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2</xdr:col>
      <xdr:colOff>923290</xdr:colOff>
      <xdr:row>33</xdr:row>
      <xdr:rowOff>0</xdr:rowOff>
    </xdr:from>
    <xdr:to>
      <xdr:col>3</xdr:col>
      <xdr:colOff>759460</xdr:colOff>
      <xdr:row>33</xdr:row>
      <xdr:rowOff>381000</xdr:rowOff>
    </xdr:to>
    <xdr:sp macro="SimularAumentoPlan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EC42E58-CFDC-C6C9-EBDB-3B0A73D7D103}"/>
            </a:ext>
          </a:extLst>
        </xdr:cNvPr>
        <xdr:cNvSpPr/>
      </xdr:nvSpPr>
      <xdr:spPr>
        <a:xfrm>
          <a:off x="2706370" y="1061466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Simular Premium</a:t>
          </a:r>
        </a:p>
      </xdr:txBody>
    </xdr:sp>
    <xdr:clientData/>
  </xdr:twoCellAnchor>
  <xdr:twoCellAnchor editAs="oneCell">
    <xdr:from>
      <xdr:col>3</xdr:col>
      <xdr:colOff>886460</xdr:colOff>
      <xdr:row>33</xdr:row>
      <xdr:rowOff>0</xdr:rowOff>
    </xdr:from>
    <xdr:to>
      <xdr:col>4</xdr:col>
      <xdr:colOff>722630</xdr:colOff>
      <xdr:row>33</xdr:row>
      <xdr:rowOff>381000</xdr:rowOff>
    </xdr:to>
    <xdr:sp macro="SimularNovoProfessor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0C8B-248C-7F89-6309-7A016058DCF1}"/>
            </a:ext>
          </a:extLst>
        </xdr:cNvPr>
        <xdr:cNvSpPr/>
      </xdr:nvSpPr>
      <xdr:spPr>
        <a:xfrm>
          <a:off x="3629660" y="1061466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Simular Prof.</a:t>
          </a:r>
        </a:p>
      </xdr:txBody>
    </xdr:sp>
    <xdr:clientData/>
  </xdr:twoCellAnchor>
  <xdr:twoCellAnchor editAs="oneCell">
    <xdr:from>
      <xdr:col>5</xdr:col>
      <xdr:colOff>26670</xdr:colOff>
      <xdr:row>33</xdr:row>
      <xdr:rowOff>0</xdr:rowOff>
    </xdr:from>
    <xdr:to>
      <xdr:col>6</xdr:col>
      <xdr:colOff>0</xdr:colOff>
      <xdr:row>33</xdr:row>
      <xdr:rowOff>381000</xdr:rowOff>
    </xdr:to>
    <xdr:sp macro="IrBIExecutiv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ACD0D86A-6042-B201-62F7-A92AC14D066B}"/>
            </a:ext>
          </a:extLst>
        </xdr:cNvPr>
        <xdr:cNvSpPr/>
      </xdr:nvSpPr>
      <xdr:spPr>
        <a:xfrm>
          <a:off x="4552950" y="1061466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Executivo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E59CE1FA-CEB0-C311-BA38-AFEFE07B83EF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6</xdr:row>
      <xdr:rowOff>411480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41F1054B-6B8D-ED16-8FB6-DC90E99D7F27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7</xdr:row>
      <xdr:rowOff>60960</xdr:rowOff>
    </xdr:from>
    <xdr:to>
      <xdr:col>0</xdr:col>
      <xdr:colOff>1607820</xdr:colOff>
      <xdr:row>8</xdr:row>
      <xdr:rowOff>15240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36C38344-3C48-9914-253E-20D88261B02B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91440</xdr:rowOff>
    </xdr:from>
    <xdr:to>
      <xdr:col>0</xdr:col>
      <xdr:colOff>1607820</xdr:colOff>
      <xdr:row>9</xdr:row>
      <xdr:rowOff>45720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56E5DFDD-2D05-9FB0-EDE4-6FDA75401936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121920</xdr:rowOff>
    </xdr:from>
    <xdr:to>
      <xdr:col>0</xdr:col>
      <xdr:colOff>1607820</xdr:colOff>
      <xdr:row>10</xdr:row>
      <xdr:rowOff>76200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14E7B977-108B-020C-BE66-0DC7CB744FDE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152400</xdr:rowOff>
    </xdr:from>
    <xdr:to>
      <xdr:col>0</xdr:col>
      <xdr:colOff>1607820</xdr:colOff>
      <xdr:row>11</xdr:row>
      <xdr:rowOff>106680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3A389600-17DB-FC20-9382-4F7ED56D206C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182880</xdr:rowOff>
    </xdr:from>
    <xdr:to>
      <xdr:col>0</xdr:col>
      <xdr:colOff>1607820</xdr:colOff>
      <xdr:row>13</xdr:row>
      <xdr:rowOff>114300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F25C8E7F-5D85-F423-B45C-2634AC44188B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190500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12A83D9A-8342-4F44-1E57-D7C2068CDF7C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26CB5F52-8232-F260-E319-9969987FB68F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65046BCA-958A-C0AE-3CB0-BA063E78E400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0EB61D98-79CB-BB33-6590-71E13F438C00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61D5714D-76A2-E296-0F94-545F37BD6F75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A1609A09-A21A-38D5-7C58-A4F051E1C4C1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340C5F90-4EC3-446F-35F9-85D8C4E14C96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BB6E1D14-5AD8-6F10-B573-2CE8B3F96AC8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24</xdr:row>
      <xdr:rowOff>7620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E54E967D-2E3B-4FD9-7148-4C5CA6171595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83820</xdr:rowOff>
    </xdr:from>
    <xdr:to>
      <xdr:col>0</xdr:col>
      <xdr:colOff>1607820</xdr:colOff>
      <xdr:row>26</xdr:row>
      <xdr:rowOff>99060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DF027F06-8FCD-F163-FABD-1A960BC3529E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175260</xdr:rowOff>
    </xdr:from>
    <xdr:to>
      <xdr:col>0</xdr:col>
      <xdr:colOff>1607820</xdr:colOff>
      <xdr:row>28</xdr:row>
      <xdr:rowOff>144780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3EE046F5-35B1-3900-A19E-21AD33FF5DF4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38100</xdr:rowOff>
    </xdr:from>
    <xdr:to>
      <xdr:col>0</xdr:col>
      <xdr:colOff>1607820</xdr:colOff>
      <xdr:row>31</xdr:row>
      <xdr:rowOff>53340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E5EA9A9A-786D-9860-C3A3-BAECC433F65B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129540</xdr:rowOff>
    </xdr:from>
    <xdr:to>
      <xdr:col>0</xdr:col>
      <xdr:colOff>1607820</xdr:colOff>
      <xdr:row>33</xdr:row>
      <xdr:rowOff>144780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DCD21CCE-F181-75A3-861D-CC4475CE9B75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165100</xdr:rowOff>
    </xdr:from>
    <xdr:to>
      <xdr:col>0</xdr:col>
      <xdr:colOff>1607820</xdr:colOff>
      <xdr:row>36</xdr:row>
      <xdr:rowOff>180340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33600A30-D7CE-BE76-ABCB-3236BCC0E8BD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796290</xdr:colOff>
      <xdr:row>55</xdr:row>
      <xdr:rowOff>15240</xdr:rowOff>
    </xdr:to>
    <xdr:sp macro="LoginPortalAlun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800B9652-B40C-6E49-1D49-F02CC6AD0CE4}"/>
            </a:ext>
          </a:extLst>
        </xdr:cNvPr>
        <xdr:cNvSpPr/>
      </xdr:nvSpPr>
      <xdr:spPr>
        <a:xfrm>
          <a:off x="1783080" y="1371600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Login Aluno</a:t>
          </a:r>
        </a:p>
      </xdr:txBody>
    </xdr:sp>
    <xdr:clientData/>
  </xdr:twoCellAnchor>
  <xdr:twoCellAnchor editAs="oneCell">
    <xdr:from>
      <xdr:col>2</xdr:col>
      <xdr:colOff>923290</xdr:colOff>
      <xdr:row>53</xdr:row>
      <xdr:rowOff>0</xdr:rowOff>
    </xdr:from>
    <xdr:to>
      <xdr:col>3</xdr:col>
      <xdr:colOff>759460</xdr:colOff>
      <xdr:row>55</xdr:row>
      <xdr:rowOff>15240</xdr:rowOff>
    </xdr:to>
    <xdr:sp macro="AtualizarPortalAlun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1326D3FC-BB17-4DC8-2C4F-857EEC9FE2F3}"/>
            </a:ext>
          </a:extLst>
        </xdr:cNvPr>
        <xdr:cNvSpPr/>
      </xdr:nvSpPr>
      <xdr:spPr>
        <a:xfrm>
          <a:off x="2706370" y="1371600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3</xdr:col>
      <xdr:colOff>886460</xdr:colOff>
      <xdr:row>53</xdr:row>
      <xdr:rowOff>0</xdr:rowOff>
    </xdr:from>
    <xdr:to>
      <xdr:col>4</xdr:col>
      <xdr:colOff>722630</xdr:colOff>
      <xdr:row>55</xdr:row>
      <xdr:rowOff>15240</xdr:rowOff>
    </xdr:to>
    <xdr:sp macro="Sincronizar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D1E76324-8202-3488-B4C4-F7BC5DC725C6}"/>
            </a:ext>
          </a:extLst>
        </xdr:cNvPr>
        <xdr:cNvSpPr/>
      </xdr:nvSpPr>
      <xdr:spPr>
        <a:xfrm>
          <a:off x="3629660" y="1371600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Sincronizar</a:t>
          </a:r>
        </a:p>
      </xdr:txBody>
    </xdr:sp>
    <xdr:clientData/>
  </xdr:twoCellAnchor>
  <xdr:twoCellAnchor editAs="oneCell">
    <xdr:from>
      <xdr:col>5</xdr:col>
      <xdr:colOff>26670</xdr:colOff>
      <xdr:row>53</xdr:row>
      <xdr:rowOff>0</xdr:rowOff>
    </xdr:from>
    <xdr:to>
      <xdr:col>6</xdr:col>
      <xdr:colOff>0</xdr:colOff>
      <xdr:row>55</xdr:row>
      <xdr:rowOff>15240</xdr:rowOff>
    </xdr:to>
    <xdr:sp macro="IrPortalOps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95D5AC74-7471-984E-AEC9-04D122599890}"/>
            </a:ext>
          </a:extLst>
        </xdr:cNvPr>
        <xdr:cNvSpPr/>
      </xdr:nvSpPr>
      <xdr:spPr>
        <a:xfrm>
          <a:off x="4552950" y="1371600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Ops / Sync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84B658DC-9202-CB86-6720-D0C5F62ECC3D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6688B980-3ABC-143F-D819-E1CBA11176B8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C78376AC-A1DD-D794-7756-66798044683D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45F35F25-48C4-90E5-BC16-DFF3C28B6C1D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E90FE280-3967-634B-5FE8-97442B4F07BB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72BB4FA2-8C70-BE8C-4C06-68567C784178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0F9FA87D-6873-09CD-45BA-7C27FA7D93C6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027E2DDD-C4E5-C33B-3ECF-F3BCE50BBE30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FFF2828E-AA1D-6520-D98C-393A3E4AA4AF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AF0C4867-1229-0903-BE0F-2F069DC38899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2D6E7D20-FDCD-B85C-8824-A89951777957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8618003F-9DCC-069C-0724-12D35182EC1C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0BEC8E0C-6DF1-4DFD-D34B-259B0BC2BC6D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B267729B-41B9-4401-2F97-84F03E48ADDD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0693298A-9117-AE5A-C9F1-1860AE8E6CA9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23</xdr:row>
      <xdr:rowOff>190500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F49B3381-D232-8651-ED3C-675EA3264DCA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38100</xdr:rowOff>
    </xdr:from>
    <xdr:to>
      <xdr:col>0</xdr:col>
      <xdr:colOff>1607820</xdr:colOff>
      <xdr:row>26</xdr:row>
      <xdr:rowOff>53340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98214E0C-1BC2-EC11-D41D-1A52E8092658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129540</xdr:rowOff>
    </xdr:from>
    <xdr:to>
      <xdr:col>0</xdr:col>
      <xdr:colOff>1607820</xdr:colOff>
      <xdr:row>28</xdr:row>
      <xdr:rowOff>144780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5F09762B-4DCC-8AAE-A690-BC11CF4BAD54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38100</xdr:rowOff>
    </xdr:from>
    <xdr:to>
      <xdr:col>0</xdr:col>
      <xdr:colOff>1607820</xdr:colOff>
      <xdr:row>31</xdr:row>
      <xdr:rowOff>53340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D18601A9-E922-44B8-D6D1-3AC4076B8B66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129540</xdr:rowOff>
    </xdr:from>
    <xdr:to>
      <xdr:col>0</xdr:col>
      <xdr:colOff>1607820</xdr:colOff>
      <xdr:row>33</xdr:row>
      <xdr:rowOff>144780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CA6E35FF-4BF5-C977-65B1-9AE4871BEBC8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165100</xdr:rowOff>
    </xdr:from>
    <xdr:to>
      <xdr:col>0</xdr:col>
      <xdr:colOff>1607820</xdr:colOff>
      <xdr:row>35</xdr:row>
      <xdr:rowOff>363220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6A2FDAF8-CF4D-15F5-E6DD-61E4A89C8A47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796290</xdr:colOff>
      <xdr:row>35</xdr:row>
      <xdr:rowOff>381000</xdr:rowOff>
    </xdr:to>
    <xdr:sp macro="AtualizarPortalProfesso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BEE318A0-3EAE-C9F1-C7E0-7734129E10C7}"/>
            </a:ext>
          </a:extLst>
        </xdr:cNvPr>
        <xdr:cNvSpPr/>
      </xdr:nvSpPr>
      <xdr:spPr>
        <a:xfrm>
          <a:off x="1783080" y="1033272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2</xdr:col>
      <xdr:colOff>923290</xdr:colOff>
      <xdr:row>35</xdr:row>
      <xdr:rowOff>0</xdr:rowOff>
    </xdr:from>
    <xdr:to>
      <xdr:col>3</xdr:col>
      <xdr:colOff>759460</xdr:colOff>
      <xdr:row>35</xdr:row>
      <xdr:rowOff>381000</xdr:rowOff>
    </xdr:to>
    <xdr:sp macro="EnviarMensagem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BC373053-62EA-D897-03EE-5E61D1DA414D}"/>
            </a:ext>
          </a:extLst>
        </xdr:cNvPr>
        <xdr:cNvSpPr/>
      </xdr:nvSpPr>
      <xdr:spPr>
        <a:xfrm>
          <a:off x="2706370" y="1033272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Enviar Msg</a:t>
          </a:r>
        </a:p>
      </xdr:txBody>
    </xdr:sp>
    <xdr:clientData/>
  </xdr:twoCellAnchor>
  <xdr:twoCellAnchor editAs="oneCell">
    <xdr:from>
      <xdr:col>3</xdr:col>
      <xdr:colOff>886460</xdr:colOff>
      <xdr:row>35</xdr:row>
      <xdr:rowOff>0</xdr:rowOff>
    </xdr:from>
    <xdr:to>
      <xdr:col>4</xdr:col>
      <xdr:colOff>722630</xdr:colOff>
      <xdr:row>35</xdr:row>
      <xdr:rowOff>381000</xdr:rowOff>
    </xdr:to>
    <xdr:sp macro="IrPortalAluno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E3060283-8844-A12C-9C42-89C75092662B}"/>
            </a:ext>
          </a:extLst>
        </xdr:cNvPr>
        <xdr:cNvSpPr/>
      </xdr:nvSpPr>
      <xdr:spPr>
        <a:xfrm>
          <a:off x="3629660" y="1033272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Portal Aluno</a:t>
          </a:r>
        </a:p>
      </xdr:txBody>
    </xdr:sp>
    <xdr:clientData/>
  </xdr:twoCellAnchor>
  <xdr:twoCellAnchor editAs="oneCell">
    <xdr:from>
      <xdr:col>5</xdr:col>
      <xdr:colOff>26670</xdr:colOff>
      <xdr:row>35</xdr:row>
      <xdr:rowOff>0</xdr:rowOff>
    </xdr:from>
    <xdr:to>
      <xdr:col>6</xdr:col>
      <xdr:colOff>0</xdr:colOff>
      <xdr:row>35</xdr:row>
      <xdr:rowOff>381000</xdr:rowOff>
    </xdr:to>
    <xdr:sp macro="IrTreinos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C253C5E-FB53-5F5A-A118-DABB886D2C0F}"/>
            </a:ext>
          </a:extLst>
        </xdr:cNvPr>
        <xdr:cNvSpPr/>
      </xdr:nvSpPr>
      <xdr:spPr>
        <a:xfrm>
          <a:off x="4552950" y="1033272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Treinos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EDCBF764-9BC2-03A2-F457-DCF3FCFCC313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6</xdr:row>
      <xdr:rowOff>411480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D45AEE30-CF34-1003-DB05-E1958171AB83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7</xdr:row>
      <xdr:rowOff>60960</xdr:rowOff>
    </xdr:from>
    <xdr:to>
      <xdr:col>0</xdr:col>
      <xdr:colOff>1607820</xdr:colOff>
      <xdr:row>8</xdr:row>
      <xdr:rowOff>243840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C65B42C7-0DE6-6661-D8BF-DB742F4E2A63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68580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A41D8F2E-29BE-A9DA-1AA5-C04EF66464FC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1C128BCC-9F5E-3181-D43C-DA0D6F6EE735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1AE5F0D1-694B-3B7D-1B47-8C5556430C61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14</xdr:row>
      <xdr:rowOff>144780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7DB4ED83-BCA9-DFDC-1C81-BA7A362F001E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14</xdr:row>
      <xdr:rowOff>220980</xdr:rowOff>
    </xdr:from>
    <xdr:to>
      <xdr:col>0</xdr:col>
      <xdr:colOff>1607820</xdr:colOff>
      <xdr:row>16</xdr:row>
      <xdr:rowOff>152400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DCC43F45-60BD-1895-3C1E-C739BBC7F890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228600</xdr:rowOff>
    </xdr:from>
    <xdr:to>
      <xdr:col>0</xdr:col>
      <xdr:colOff>1607820</xdr:colOff>
      <xdr:row>17</xdr:row>
      <xdr:rowOff>182880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9496C945-2268-FC55-6222-33C0A36AFD02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259080</xdr:rowOff>
    </xdr:from>
    <xdr:to>
      <xdr:col>0</xdr:col>
      <xdr:colOff>1607820</xdr:colOff>
      <xdr:row>18</xdr:row>
      <xdr:rowOff>213360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FD403BFA-1FD4-74D7-5A8E-DBEB17AA8CB6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289560</xdr:rowOff>
    </xdr:from>
    <xdr:to>
      <xdr:col>0</xdr:col>
      <xdr:colOff>1607820</xdr:colOff>
      <xdr:row>19</xdr:row>
      <xdr:rowOff>243840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AD796150-1664-1B78-A4CB-3EAD3B2E6D1E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320040</xdr:rowOff>
    </xdr:from>
    <xdr:to>
      <xdr:col>0</xdr:col>
      <xdr:colOff>1607820</xdr:colOff>
      <xdr:row>20</xdr:row>
      <xdr:rowOff>274320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7AB656BE-67C6-AA7A-54B0-0AB38E4EF431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350520</xdr:rowOff>
    </xdr:from>
    <xdr:to>
      <xdr:col>0</xdr:col>
      <xdr:colOff>1607820</xdr:colOff>
      <xdr:row>21</xdr:row>
      <xdr:rowOff>304800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F5E0E219-0A0A-AE09-8C0C-E7BA7174A6FA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381000</xdr:rowOff>
    </xdr:from>
    <xdr:to>
      <xdr:col>0</xdr:col>
      <xdr:colOff>1607820</xdr:colOff>
      <xdr:row>22</xdr:row>
      <xdr:rowOff>335280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25F38B20-3780-72C0-5A4D-5C6408364EC3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411480</xdr:rowOff>
    </xdr:from>
    <xdr:to>
      <xdr:col>0</xdr:col>
      <xdr:colOff>1607820</xdr:colOff>
      <xdr:row>25</xdr:row>
      <xdr:rowOff>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04D908DD-A8D6-ED6D-D7D3-499ED1A4EEF0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25</xdr:row>
      <xdr:rowOff>76200</xdr:rowOff>
    </xdr:from>
    <xdr:to>
      <xdr:col>0</xdr:col>
      <xdr:colOff>1607820</xdr:colOff>
      <xdr:row>27</xdr:row>
      <xdr:rowOff>91440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4FCB648E-E2C6-64EE-591F-151A1CA69A0D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27</xdr:row>
      <xdr:rowOff>167640</xdr:rowOff>
    </xdr:from>
    <xdr:to>
      <xdr:col>0</xdr:col>
      <xdr:colOff>1607820</xdr:colOff>
      <xdr:row>28</xdr:row>
      <xdr:rowOff>365760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B167B2CA-14DE-FA4C-4C93-7FAD323DD0B1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28</xdr:row>
      <xdr:rowOff>441960</xdr:rowOff>
    </xdr:from>
    <xdr:to>
      <xdr:col>0</xdr:col>
      <xdr:colOff>1607820</xdr:colOff>
      <xdr:row>31</xdr:row>
      <xdr:rowOff>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3FB3179F-327B-4254-96D9-C8A7225F2D89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76200</xdr:rowOff>
    </xdr:from>
    <xdr:to>
      <xdr:col>0</xdr:col>
      <xdr:colOff>1607820</xdr:colOff>
      <xdr:row>33</xdr:row>
      <xdr:rowOff>91440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D8188D30-31C9-C4D9-9286-4218BBF86761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33</xdr:row>
      <xdr:rowOff>167640</xdr:rowOff>
    </xdr:from>
    <xdr:to>
      <xdr:col>0</xdr:col>
      <xdr:colOff>1607820</xdr:colOff>
      <xdr:row>36</xdr:row>
      <xdr:rowOff>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3EA1EE32-C974-0C92-8C27-FC6915E5C2BA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37</xdr:row>
      <xdr:rowOff>20320</xdr:rowOff>
    </xdr:from>
    <xdr:to>
      <xdr:col>0</xdr:col>
      <xdr:colOff>1607820</xdr:colOff>
      <xdr:row>39</xdr:row>
      <xdr:rowOff>35560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3A1A8CF4-B534-2540-FDB2-FC1E8F7251A7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762000</xdr:colOff>
      <xdr:row>28</xdr:row>
      <xdr:rowOff>381000</xdr:rowOff>
    </xdr:to>
    <xdr:sp macro="AtualizarPortalOps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B56B252E-D004-4FCD-5AA6-B916D93C22A9}"/>
            </a:ext>
          </a:extLst>
        </xdr:cNvPr>
        <xdr:cNvSpPr/>
      </xdr:nvSpPr>
      <xdr:spPr>
        <a:xfrm>
          <a:off x="1783080" y="837438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2</xdr:col>
      <xdr:colOff>889000</xdr:colOff>
      <xdr:row>28</xdr:row>
      <xdr:rowOff>0</xdr:rowOff>
    </xdr:from>
    <xdr:to>
      <xdr:col>3</xdr:col>
      <xdr:colOff>690880</xdr:colOff>
      <xdr:row>28</xdr:row>
      <xdr:rowOff>381000</xdr:rowOff>
    </xdr:to>
    <xdr:sp macro="Sincronizar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52CA18F5-6AE1-B9FE-0735-74064AFBACD2}"/>
            </a:ext>
          </a:extLst>
        </xdr:cNvPr>
        <xdr:cNvSpPr/>
      </xdr:nvSpPr>
      <xdr:spPr>
        <a:xfrm>
          <a:off x="2672080" y="837438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Sincronizar</a:t>
          </a:r>
        </a:p>
      </xdr:txBody>
    </xdr:sp>
    <xdr:clientData/>
  </xdr:twoCellAnchor>
  <xdr:twoCellAnchor editAs="oneCell">
    <xdr:from>
      <xdr:col>3</xdr:col>
      <xdr:colOff>817880</xdr:colOff>
      <xdr:row>28</xdr:row>
      <xdr:rowOff>0</xdr:rowOff>
    </xdr:from>
    <xdr:to>
      <xdr:col>4</xdr:col>
      <xdr:colOff>756920</xdr:colOff>
      <xdr:row>28</xdr:row>
      <xdr:rowOff>381000</xdr:rowOff>
    </xdr:to>
    <xdr:sp macro="IrPortalAluno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E63C9D08-13B3-6995-F182-34190003EAC3}"/>
            </a:ext>
          </a:extLst>
        </xdr:cNvPr>
        <xdr:cNvSpPr/>
      </xdr:nvSpPr>
      <xdr:spPr>
        <a:xfrm>
          <a:off x="3561080" y="837438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Portal Aluno</a:t>
          </a:r>
        </a:p>
      </xdr:txBody>
    </xdr:sp>
    <xdr:clientData/>
  </xdr:twoCellAnchor>
  <xdr:twoCellAnchor editAs="oneCell">
    <xdr:from>
      <xdr:col>5</xdr:col>
      <xdr:colOff>60960</xdr:colOff>
      <xdr:row>28</xdr:row>
      <xdr:rowOff>0</xdr:rowOff>
    </xdr:from>
    <xdr:to>
      <xdr:col>6</xdr:col>
      <xdr:colOff>0</xdr:colOff>
      <xdr:row>28</xdr:row>
      <xdr:rowOff>381000</xdr:rowOff>
    </xdr:to>
    <xdr:sp macro="IrHome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2B6A655F-C16A-5609-8249-3FECDBE1610F}"/>
            </a:ext>
          </a:extLst>
        </xdr:cNvPr>
        <xdr:cNvSpPr/>
      </xdr:nvSpPr>
      <xdr:spPr>
        <a:xfrm>
          <a:off x="4450080" y="8374380"/>
          <a:ext cx="76200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5E402F08-CB3E-5E64-4A31-CCB11ACF960F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6</xdr:row>
      <xdr:rowOff>411480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1B3E9C36-05A3-6261-C913-65E0C868D1D3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7</xdr:row>
      <xdr:rowOff>60960</xdr:rowOff>
    </xdr:from>
    <xdr:to>
      <xdr:col>0</xdr:col>
      <xdr:colOff>1607820</xdr:colOff>
      <xdr:row>8</xdr:row>
      <xdr:rowOff>15240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A30219C7-C3C2-4A2B-48FB-E652EE20928E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91440</xdr:rowOff>
    </xdr:from>
    <xdr:to>
      <xdr:col>0</xdr:col>
      <xdr:colOff>1607820</xdr:colOff>
      <xdr:row>10</xdr:row>
      <xdr:rowOff>22860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0753407B-416A-568B-3DAF-43D599EAC613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99060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9BC8BABC-232E-670C-09ED-AA4A5E594B6A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588E7CFF-C106-F4F8-77AB-04F453E97A28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893123A0-CF9B-64BA-C3BB-E3695F73AC8B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8C6AD993-56D3-0BA1-EF08-9CCF539EFB47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7EE6888B-A1D8-BB61-D1F3-F217F97300D7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502C10E6-16E0-5D6C-8FB9-7D0496AF38D6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8A3ED5E7-84C0-352C-24E7-C2791DC9A62E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0714DD98-8163-D7B2-8D03-50F620639696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7D49F775-AD22-0C27-F9E0-89117F21385C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C1725C1E-7BC1-F82A-0A9C-FB82EE50BB7D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AB2CFAFC-EAFE-CF5A-92E9-DC093F6CC5EB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24</xdr:row>
      <xdr:rowOff>7620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AC27CAF2-2D3C-AAAA-80B3-58F9CEA3CC40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83820</xdr:rowOff>
    </xdr:from>
    <xdr:to>
      <xdr:col>0</xdr:col>
      <xdr:colOff>1607820</xdr:colOff>
      <xdr:row>26</xdr:row>
      <xdr:rowOff>38100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FF9D288D-3056-488D-B64F-27BC075C8EC8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114300</xdr:rowOff>
    </xdr:from>
    <xdr:to>
      <xdr:col>0</xdr:col>
      <xdr:colOff>1607820</xdr:colOff>
      <xdr:row>28</xdr:row>
      <xdr:rowOff>99060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E1782E44-F2A2-C4D6-9465-AA0EC89F59CB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28</xdr:row>
      <xdr:rowOff>175260</xdr:rowOff>
    </xdr:from>
    <xdr:to>
      <xdr:col>0</xdr:col>
      <xdr:colOff>1607820</xdr:colOff>
      <xdr:row>30</xdr:row>
      <xdr:rowOff>175260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932148F4-329C-0666-69C3-D58AA4D97C2E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68580</xdr:rowOff>
    </xdr:from>
    <xdr:to>
      <xdr:col>0</xdr:col>
      <xdr:colOff>1607820</xdr:colOff>
      <xdr:row>33</xdr:row>
      <xdr:rowOff>38100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D34F05C0-05B9-D1DF-EB52-8E11889690A2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58420</xdr:rowOff>
    </xdr:from>
    <xdr:to>
      <xdr:col>0</xdr:col>
      <xdr:colOff>1607820</xdr:colOff>
      <xdr:row>36</xdr:row>
      <xdr:rowOff>73660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AAF8ABF0-2936-9969-66A6-6CFBEABA599A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52</xdr:row>
      <xdr:rowOff>0</xdr:rowOff>
    </xdr:from>
    <xdr:to>
      <xdr:col>2</xdr:col>
      <xdr:colOff>796290</xdr:colOff>
      <xdr:row>52</xdr:row>
      <xdr:rowOff>381000</xdr:rowOff>
    </xdr:to>
    <xdr:sp macro="PerguntarAthena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F17A67FD-47AB-E989-047B-7F8ADD2B2C53}"/>
            </a:ext>
          </a:extLst>
        </xdr:cNvPr>
        <xdr:cNvSpPr/>
      </xdr:nvSpPr>
      <xdr:spPr>
        <a:xfrm>
          <a:off x="1783080" y="1359408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Perguntar</a:t>
          </a:r>
        </a:p>
      </xdr:txBody>
    </xdr:sp>
    <xdr:clientData/>
  </xdr:twoCellAnchor>
  <xdr:twoCellAnchor editAs="oneCell">
    <xdr:from>
      <xdr:col>2</xdr:col>
      <xdr:colOff>923290</xdr:colOff>
      <xdr:row>52</xdr:row>
      <xdr:rowOff>0</xdr:rowOff>
    </xdr:from>
    <xdr:to>
      <xdr:col>3</xdr:col>
      <xdr:colOff>759460</xdr:colOff>
      <xdr:row>52</xdr:row>
      <xdr:rowOff>381000</xdr:rowOff>
    </xdr:to>
    <xdr:sp macro="AtualizarAthenaAI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5E99BE01-F310-C16E-1546-17FC5DB11FA1}"/>
            </a:ext>
          </a:extLst>
        </xdr:cNvPr>
        <xdr:cNvSpPr/>
      </xdr:nvSpPr>
      <xdr:spPr>
        <a:xfrm>
          <a:off x="2706370" y="1359408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3</xdr:col>
      <xdr:colOff>886460</xdr:colOff>
      <xdr:row>52</xdr:row>
      <xdr:rowOff>0</xdr:rowOff>
    </xdr:from>
    <xdr:to>
      <xdr:col>4</xdr:col>
      <xdr:colOff>722630</xdr:colOff>
      <xdr:row>52</xdr:row>
      <xdr:rowOff>381000</xdr:rowOff>
    </xdr:to>
    <xdr:sp macro="GerarRelatorioI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6B2E86DB-8BFD-A421-3F81-54DD39C884C0}"/>
            </a:ext>
          </a:extLst>
        </xdr:cNvPr>
        <xdr:cNvSpPr/>
      </xdr:nvSpPr>
      <xdr:spPr>
        <a:xfrm>
          <a:off x="3629660" y="1359408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Relatório IA</a:t>
          </a:r>
        </a:p>
      </xdr:txBody>
    </xdr:sp>
    <xdr:clientData/>
  </xdr:twoCellAnchor>
  <xdr:twoCellAnchor editAs="oneCell">
    <xdr:from>
      <xdr:col>5</xdr:col>
      <xdr:colOff>26670</xdr:colOff>
      <xdr:row>52</xdr:row>
      <xdr:rowOff>0</xdr:rowOff>
    </xdr:from>
    <xdr:to>
      <xdr:col>6</xdr:col>
      <xdr:colOff>0</xdr:colOff>
      <xdr:row>52</xdr:row>
      <xdr:rowOff>381000</xdr:rowOff>
    </xdr:to>
    <xdr:sp macro="IrRecomendacoes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20666B76-D9D8-F48F-358B-6166EF0FC509}"/>
            </a:ext>
          </a:extLst>
        </xdr:cNvPr>
        <xdr:cNvSpPr/>
      </xdr:nvSpPr>
      <xdr:spPr>
        <a:xfrm>
          <a:off x="4552950" y="1359408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Recomendações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1D677C5D-9145-B884-7A06-F9AD3A5F27B8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213360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69576F7F-B445-0B44-7E49-1B11C10855F3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38100</xdr:rowOff>
    </xdr:from>
    <xdr:to>
      <xdr:col>0</xdr:col>
      <xdr:colOff>1607820</xdr:colOff>
      <xdr:row>9</xdr:row>
      <xdr:rowOff>220980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BF1EA8F8-886D-861A-1E0E-E0E2E68A827D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297180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AD866EA7-2A15-EE07-A883-B8838B0C5973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325C2652-8CB0-5CCD-03D9-6F379A941F29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7A5A563C-BABF-8D38-ED76-7DC36C7A822D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6B56317A-5C82-85E6-B49E-584196CE0F6D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D9E4AD7D-9C9B-A051-474E-F2FC6EE49272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DFBA4221-0BBC-5E21-A02E-38C3627CA48F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54B9CD03-35BA-DA35-B363-EE1F25FC8159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21A5B4F3-664B-6E54-7ACE-FEE4FA6A7410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4948ADC7-DCD8-D287-0A7C-A05E3D967BF6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06EB0266-9C3E-A9FF-F765-E915A907C2FF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8CB5224E-3C40-DF01-3538-B2FF56F64812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B63FD40A-FA69-7BB3-EC24-EB39044BE265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24</xdr:row>
      <xdr:rowOff>7620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B72EAFD6-D1AD-6AAD-1FEC-DEF1A5A7A84D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83820</xdr:rowOff>
    </xdr:from>
    <xdr:to>
      <xdr:col>0</xdr:col>
      <xdr:colOff>1607820</xdr:colOff>
      <xdr:row>26</xdr:row>
      <xdr:rowOff>99060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013298F6-637D-6C98-833F-420B24C48C09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175260</xdr:rowOff>
    </xdr:from>
    <xdr:to>
      <xdr:col>0</xdr:col>
      <xdr:colOff>1607820</xdr:colOff>
      <xdr:row>28</xdr:row>
      <xdr:rowOff>144780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3C64EEDC-3CC7-95F5-06E0-108D7E0114CE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38100</xdr:rowOff>
    </xdr:from>
    <xdr:to>
      <xdr:col>0</xdr:col>
      <xdr:colOff>1607820</xdr:colOff>
      <xdr:row>31</xdr:row>
      <xdr:rowOff>53340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D383A365-B892-90A7-5A39-DB6755DAAF4E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129540</xdr:rowOff>
    </xdr:from>
    <xdr:to>
      <xdr:col>0</xdr:col>
      <xdr:colOff>1607820</xdr:colOff>
      <xdr:row>33</xdr:row>
      <xdr:rowOff>144780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1DB740D1-4A95-C3A2-1C10-BF2C53C086F9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165100</xdr:rowOff>
    </xdr:from>
    <xdr:to>
      <xdr:col>0</xdr:col>
      <xdr:colOff>1607820</xdr:colOff>
      <xdr:row>36</xdr:row>
      <xdr:rowOff>180340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D0927C07-D82A-CF5E-9E21-88AAD0BA3A4E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3</xdr:col>
      <xdr:colOff>487680</xdr:colOff>
      <xdr:row>36</xdr:row>
      <xdr:rowOff>381000</xdr:rowOff>
    </xdr:to>
    <xdr:sp macro="AtualizarRecomendacoes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D496D058-6CF8-3CDF-37CE-9948BF4F42E2}"/>
            </a:ext>
          </a:extLst>
        </xdr:cNvPr>
        <xdr:cNvSpPr/>
      </xdr:nvSpPr>
      <xdr:spPr>
        <a:xfrm>
          <a:off x="1783080" y="10515600"/>
          <a:ext cx="11734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3</xdr:col>
      <xdr:colOff>614680</xdr:colOff>
      <xdr:row>36</xdr:row>
      <xdr:rowOff>0</xdr:rowOff>
    </xdr:from>
    <xdr:to>
      <xdr:col>4</xdr:col>
      <xdr:colOff>828040</xdr:colOff>
      <xdr:row>36</xdr:row>
      <xdr:rowOff>381000</xdr:rowOff>
    </xdr:to>
    <xdr:sp macro="IrAthenaAI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6EA87641-5753-0A5F-AE7F-ED36DFFE195D}"/>
            </a:ext>
          </a:extLst>
        </xdr:cNvPr>
        <xdr:cNvSpPr/>
      </xdr:nvSpPr>
      <xdr:spPr>
        <a:xfrm>
          <a:off x="3083560" y="10515600"/>
          <a:ext cx="11734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Athena AI</a:t>
          </a:r>
        </a:p>
      </xdr:txBody>
    </xdr:sp>
    <xdr:clientData/>
  </xdr:twoCellAnchor>
  <xdr:twoCellAnchor editAs="oneCell">
    <xdr:from>
      <xdr:col>4</xdr:col>
      <xdr:colOff>955040</xdr:colOff>
      <xdr:row>36</xdr:row>
      <xdr:rowOff>0</xdr:rowOff>
    </xdr:from>
    <xdr:to>
      <xdr:col>4</xdr:col>
      <xdr:colOff>2128520</xdr:colOff>
      <xdr:row>36</xdr:row>
      <xdr:rowOff>381000</xdr:rowOff>
    </xdr:to>
    <xdr:sp macro="IrBIExecutivo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DD5FF6B-B92F-B205-A867-4C88CA4138FE}"/>
            </a:ext>
          </a:extLst>
        </xdr:cNvPr>
        <xdr:cNvSpPr/>
      </xdr:nvSpPr>
      <xdr:spPr>
        <a:xfrm>
          <a:off x="4384040" y="10515600"/>
          <a:ext cx="11734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BI Exec</a:t>
          </a:r>
        </a:p>
      </xdr:txBody>
    </xdr:sp>
    <xdr:clientData/>
  </xdr:twoCellAnchor>
  <xdr:twoCellAnchor editAs="oneCell">
    <xdr:from>
      <xdr:col>4</xdr:col>
      <xdr:colOff>2255520</xdr:colOff>
      <xdr:row>36</xdr:row>
      <xdr:rowOff>0</xdr:rowOff>
    </xdr:from>
    <xdr:to>
      <xdr:col>6</xdr:col>
      <xdr:colOff>0</xdr:colOff>
      <xdr:row>36</xdr:row>
      <xdr:rowOff>381000</xdr:rowOff>
    </xdr:to>
    <xdr:sp macro="IrHome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340E3843-68F1-C7D6-872A-F6AFF4C37786}"/>
            </a:ext>
          </a:extLst>
        </xdr:cNvPr>
        <xdr:cNvSpPr/>
      </xdr:nvSpPr>
      <xdr:spPr>
        <a:xfrm>
          <a:off x="5684520" y="10515600"/>
          <a:ext cx="11734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FC4A5D1E-B5CF-FBF9-2FE4-7DB906F9FAB5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6</xdr:row>
      <xdr:rowOff>411480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22BB0043-5EB2-3357-5EEB-17432518D15A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7</xdr:row>
      <xdr:rowOff>60960</xdr:rowOff>
    </xdr:from>
    <xdr:to>
      <xdr:col>0</xdr:col>
      <xdr:colOff>1607820</xdr:colOff>
      <xdr:row>8</xdr:row>
      <xdr:rowOff>243840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F9C67D25-83A6-CEEB-7C51-F3DDB957460C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68580</xdr:rowOff>
    </xdr:from>
    <xdr:to>
      <xdr:col>0</xdr:col>
      <xdr:colOff>1607820</xdr:colOff>
      <xdr:row>10</xdr:row>
      <xdr:rowOff>251460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71D665D9-C388-20D5-673E-5FCAEB3014BE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327660</xdr:rowOff>
    </xdr:from>
    <xdr:to>
      <xdr:col>0</xdr:col>
      <xdr:colOff>1607820</xdr:colOff>
      <xdr:row>11</xdr:row>
      <xdr:rowOff>281940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65A51B16-5456-3FE0-7640-56C9C8094B39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358140</xdr:rowOff>
    </xdr:from>
    <xdr:to>
      <xdr:col>0</xdr:col>
      <xdr:colOff>1607820</xdr:colOff>
      <xdr:row>12</xdr:row>
      <xdr:rowOff>312420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C66EB6E6-8907-0BDD-9537-CB7B72E93485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388620</xdr:rowOff>
    </xdr:from>
    <xdr:to>
      <xdr:col>0</xdr:col>
      <xdr:colOff>1607820</xdr:colOff>
      <xdr:row>13</xdr:row>
      <xdr:rowOff>342900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B48DE927-BF75-F349-1BD3-D1CDC646732C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419100</xdr:rowOff>
    </xdr:from>
    <xdr:to>
      <xdr:col>0</xdr:col>
      <xdr:colOff>1607820</xdr:colOff>
      <xdr:row>14</xdr:row>
      <xdr:rowOff>373380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61F8025B-A4EE-2947-A07D-9381F743DB9B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22860</xdr:rowOff>
    </xdr:from>
    <xdr:to>
      <xdr:col>0</xdr:col>
      <xdr:colOff>1607820</xdr:colOff>
      <xdr:row>15</xdr:row>
      <xdr:rowOff>403860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1BAC3F7E-4E57-8235-FED5-18BF60218785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53340</xdr:rowOff>
    </xdr:from>
    <xdr:to>
      <xdr:col>0</xdr:col>
      <xdr:colOff>1607820</xdr:colOff>
      <xdr:row>17</xdr:row>
      <xdr:rowOff>7620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02744615-52AB-A2A8-FE76-FC8BF2D13B2C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83820</xdr:rowOff>
    </xdr:from>
    <xdr:to>
      <xdr:col>0</xdr:col>
      <xdr:colOff>1607820</xdr:colOff>
      <xdr:row>18</xdr:row>
      <xdr:rowOff>38100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CC27BCD4-C4F2-EA21-615F-DD14D17F195E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114300</xdr:rowOff>
    </xdr:from>
    <xdr:to>
      <xdr:col>0</xdr:col>
      <xdr:colOff>1607820</xdr:colOff>
      <xdr:row>19</xdr:row>
      <xdr:rowOff>68580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16A79226-2B60-D02D-6532-FDACDCF1CFBC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144780</xdr:rowOff>
    </xdr:from>
    <xdr:to>
      <xdr:col>0</xdr:col>
      <xdr:colOff>1607820</xdr:colOff>
      <xdr:row>20</xdr:row>
      <xdr:rowOff>99060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DD63BECF-3B8E-8B87-3054-BC512F8AC069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175260</xdr:rowOff>
    </xdr:from>
    <xdr:to>
      <xdr:col>0</xdr:col>
      <xdr:colOff>1607820</xdr:colOff>
      <xdr:row>21</xdr:row>
      <xdr:rowOff>129540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88C0754E-C196-F50B-D286-0BCEA4F4D0A6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205740</xdr:rowOff>
    </xdr:from>
    <xdr:to>
      <xdr:col>0</xdr:col>
      <xdr:colOff>1607820</xdr:colOff>
      <xdr:row>22</xdr:row>
      <xdr:rowOff>160020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221EAC4E-DAD7-A284-92CE-F955F1FEB4F1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236220</xdr:rowOff>
    </xdr:from>
    <xdr:to>
      <xdr:col>0</xdr:col>
      <xdr:colOff>1607820</xdr:colOff>
      <xdr:row>24</xdr:row>
      <xdr:rowOff>7620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48F653CF-D5E7-23B9-599F-5BB535824128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83820</xdr:rowOff>
    </xdr:from>
    <xdr:to>
      <xdr:col>0</xdr:col>
      <xdr:colOff>1607820</xdr:colOff>
      <xdr:row>26</xdr:row>
      <xdr:rowOff>99060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0E4D802E-0C66-0F1F-67C6-B24F7C9C7784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175260</xdr:rowOff>
    </xdr:from>
    <xdr:to>
      <xdr:col>0</xdr:col>
      <xdr:colOff>1607820</xdr:colOff>
      <xdr:row>28</xdr:row>
      <xdr:rowOff>144780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A83A7AF1-D115-EB2F-8F7C-DF0484468C2B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29</xdr:row>
      <xdr:rowOff>38100</xdr:rowOff>
    </xdr:from>
    <xdr:to>
      <xdr:col>0</xdr:col>
      <xdr:colOff>1607820</xdr:colOff>
      <xdr:row>31</xdr:row>
      <xdr:rowOff>53340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703F780B-B307-564A-EC3D-62E210EF1654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129540</xdr:rowOff>
    </xdr:from>
    <xdr:to>
      <xdr:col>0</xdr:col>
      <xdr:colOff>1607820</xdr:colOff>
      <xdr:row>33</xdr:row>
      <xdr:rowOff>144780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8F651A23-8CA9-9A27-3C60-C32A0B455DAB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34</xdr:row>
      <xdr:rowOff>165100</xdr:rowOff>
    </xdr:from>
    <xdr:to>
      <xdr:col>0</xdr:col>
      <xdr:colOff>1607820</xdr:colOff>
      <xdr:row>36</xdr:row>
      <xdr:rowOff>180340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4450F698-DA81-B7EE-A0B8-263FCDD1E500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796290</xdr:colOff>
      <xdr:row>39</xdr:row>
      <xdr:rowOff>381000</xdr:rowOff>
    </xdr:to>
    <xdr:sp macro="AtualizarMaste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89F2BD18-2667-3683-F9C0-C1D3BC7EB9B0}"/>
            </a:ext>
          </a:extLst>
        </xdr:cNvPr>
        <xdr:cNvSpPr/>
      </xdr:nvSpPr>
      <xdr:spPr>
        <a:xfrm>
          <a:off x="1783080" y="1106424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2</xdr:col>
      <xdr:colOff>923290</xdr:colOff>
      <xdr:row>39</xdr:row>
      <xdr:rowOff>0</xdr:rowOff>
    </xdr:from>
    <xdr:to>
      <xdr:col>3</xdr:col>
      <xdr:colOff>759460</xdr:colOff>
      <xdr:row>39</xdr:row>
      <xdr:rowOff>381000</xdr:rowOff>
    </xdr:to>
    <xdr:sp macro="IrNovaAcademia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6DB95CBF-4277-FC11-6C29-97B4E4F79B03}"/>
            </a:ext>
          </a:extLst>
        </xdr:cNvPr>
        <xdr:cNvSpPr/>
      </xdr:nvSpPr>
      <xdr:spPr>
        <a:xfrm>
          <a:off x="2706370" y="1106424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Nova Academia</a:t>
          </a:r>
        </a:p>
      </xdr:txBody>
    </xdr:sp>
    <xdr:clientData/>
  </xdr:twoCellAnchor>
  <xdr:twoCellAnchor editAs="oneCell">
    <xdr:from>
      <xdr:col>3</xdr:col>
      <xdr:colOff>886460</xdr:colOff>
      <xdr:row>39</xdr:row>
      <xdr:rowOff>0</xdr:rowOff>
    </xdr:from>
    <xdr:to>
      <xdr:col>4</xdr:col>
      <xdr:colOff>722630</xdr:colOff>
      <xdr:row>39</xdr:row>
      <xdr:rowOff>381000</xdr:rowOff>
    </xdr:to>
    <xdr:sp macro="TrocarEmpres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1E6B9A4C-5363-2C2E-E43B-F6D058FA06A5}"/>
            </a:ext>
          </a:extLst>
        </xdr:cNvPr>
        <xdr:cNvSpPr/>
      </xdr:nvSpPr>
      <xdr:spPr>
        <a:xfrm>
          <a:off x="3629660" y="1106424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Trocar Empresa</a:t>
          </a:r>
        </a:p>
      </xdr:txBody>
    </xdr:sp>
    <xdr:clientData/>
  </xdr:twoCellAnchor>
  <xdr:twoCellAnchor editAs="oneCell">
    <xdr:from>
      <xdr:col>5</xdr:col>
      <xdr:colOff>26670</xdr:colOff>
      <xdr:row>39</xdr:row>
      <xdr:rowOff>0</xdr:rowOff>
    </xdr:from>
    <xdr:to>
      <xdr:col>6</xdr:col>
      <xdr:colOff>0</xdr:colOff>
      <xdr:row>39</xdr:row>
      <xdr:rowOff>381000</xdr:rowOff>
    </xdr:to>
    <xdr:sp macro="IrHome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EE6DC0D1-2ED5-F8C9-DAA1-3AEE61F75D1D}"/>
            </a:ext>
          </a:extLst>
        </xdr:cNvPr>
        <xdr:cNvSpPr/>
      </xdr:nvSpPr>
      <xdr:spPr>
        <a:xfrm>
          <a:off x="4552950" y="11064240"/>
          <a:ext cx="79629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F4FE2460-5804-048B-602A-F1D8171424B6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6</xdr:row>
      <xdr:rowOff>411480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9DE3EC77-1404-B34E-5234-B5AF0B191038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7</xdr:row>
      <xdr:rowOff>60960</xdr:rowOff>
    </xdr:from>
    <xdr:to>
      <xdr:col>0</xdr:col>
      <xdr:colOff>1607820</xdr:colOff>
      <xdr:row>8</xdr:row>
      <xdr:rowOff>15240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92B2C017-6B5B-A108-1F62-2626A803A4C1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91440</xdr:rowOff>
    </xdr:from>
    <xdr:to>
      <xdr:col>0</xdr:col>
      <xdr:colOff>1607820</xdr:colOff>
      <xdr:row>9</xdr:row>
      <xdr:rowOff>45720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7F20F2F5-F719-3C6E-760B-3BE87FC93B5C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121920</xdr:rowOff>
    </xdr:from>
    <xdr:to>
      <xdr:col>0</xdr:col>
      <xdr:colOff>1607820</xdr:colOff>
      <xdr:row>10</xdr:row>
      <xdr:rowOff>76200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14ADA0D3-56B4-3ED9-D9E4-05C0B3B918BC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152400</xdr:rowOff>
    </xdr:from>
    <xdr:to>
      <xdr:col>0</xdr:col>
      <xdr:colOff>1607820</xdr:colOff>
      <xdr:row>11</xdr:row>
      <xdr:rowOff>106680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A267D1B7-67E5-B14F-6AEA-63F33D7E5A5C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182880</xdr:rowOff>
    </xdr:from>
    <xdr:to>
      <xdr:col>0</xdr:col>
      <xdr:colOff>1607820</xdr:colOff>
      <xdr:row>12</xdr:row>
      <xdr:rowOff>137160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F7EBE13E-FC67-E072-0A5B-FD08884402D9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213360</xdr:rowOff>
    </xdr:from>
    <xdr:to>
      <xdr:col>0</xdr:col>
      <xdr:colOff>1607820</xdr:colOff>
      <xdr:row>13</xdr:row>
      <xdr:rowOff>167640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F8DD934B-41E7-96C1-0A55-D77478DBA93E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243840</xdr:rowOff>
    </xdr:from>
    <xdr:to>
      <xdr:col>0</xdr:col>
      <xdr:colOff>1607820</xdr:colOff>
      <xdr:row>14</xdr:row>
      <xdr:rowOff>198120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89581DD6-053D-D7EB-1CE3-8AF0B08FB8E6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14</xdr:row>
      <xdr:rowOff>274320</xdr:rowOff>
    </xdr:from>
    <xdr:to>
      <xdr:col>0</xdr:col>
      <xdr:colOff>1607820</xdr:colOff>
      <xdr:row>15</xdr:row>
      <xdr:rowOff>228600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EBCA3A8A-2B1E-B049-7054-EA8DEB829C3E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304800</xdr:rowOff>
    </xdr:from>
    <xdr:to>
      <xdr:col>0</xdr:col>
      <xdr:colOff>1607820</xdr:colOff>
      <xdr:row>16</xdr:row>
      <xdr:rowOff>259080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B5E79F7F-C78C-52AF-C19E-5824EFB385CE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335280</xdr:rowOff>
    </xdr:from>
    <xdr:to>
      <xdr:col>0</xdr:col>
      <xdr:colOff>1607820</xdr:colOff>
      <xdr:row>17</xdr:row>
      <xdr:rowOff>289560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9395C5C7-D6EF-8282-212F-DB2F5D36AFA2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365760</xdr:rowOff>
    </xdr:from>
    <xdr:to>
      <xdr:col>0</xdr:col>
      <xdr:colOff>1607820</xdr:colOff>
      <xdr:row>18</xdr:row>
      <xdr:rowOff>320040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AD78E90B-1C5C-E930-61E3-136C7FCA32CD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396240</xdr:rowOff>
    </xdr:from>
    <xdr:to>
      <xdr:col>0</xdr:col>
      <xdr:colOff>1607820</xdr:colOff>
      <xdr:row>19</xdr:row>
      <xdr:rowOff>350520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F8F8A60C-6446-5BBB-6478-295CB873CC93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0</xdr:rowOff>
    </xdr:from>
    <xdr:to>
      <xdr:col>0</xdr:col>
      <xdr:colOff>1607820</xdr:colOff>
      <xdr:row>20</xdr:row>
      <xdr:rowOff>381000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3B60E55F-2A77-A0D5-126E-ECAB96A4B041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30480</xdr:rowOff>
    </xdr:from>
    <xdr:to>
      <xdr:col>0</xdr:col>
      <xdr:colOff>1607820</xdr:colOff>
      <xdr:row>21</xdr:row>
      <xdr:rowOff>411480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C841623D-E934-5EE6-852A-678D3B3838E0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60960</xdr:rowOff>
    </xdr:from>
    <xdr:to>
      <xdr:col>0</xdr:col>
      <xdr:colOff>1607820</xdr:colOff>
      <xdr:row>23</xdr:row>
      <xdr:rowOff>15240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2FE6A496-3EF3-5EF8-8E3D-D089ED297208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23</xdr:row>
      <xdr:rowOff>91440</xdr:rowOff>
    </xdr:from>
    <xdr:to>
      <xdr:col>0</xdr:col>
      <xdr:colOff>1607820</xdr:colOff>
      <xdr:row>24</xdr:row>
      <xdr:rowOff>289560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5A648D8F-514F-98A0-E7AE-E2FD1976A6BC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24</xdr:row>
      <xdr:rowOff>365760</xdr:rowOff>
    </xdr:from>
    <xdr:to>
      <xdr:col>0</xdr:col>
      <xdr:colOff>1607820</xdr:colOff>
      <xdr:row>26</xdr:row>
      <xdr:rowOff>106680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D0B8F8D1-F8D5-3C8A-FB12-4191A209A54F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27</xdr:row>
      <xdr:rowOff>0</xdr:rowOff>
    </xdr:from>
    <xdr:to>
      <xdr:col>0</xdr:col>
      <xdr:colOff>1607820</xdr:colOff>
      <xdr:row>29</xdr:row>
      <xdr:rowOff>15240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B45F3A5B-5F02-AE51-1D95-CB322646662B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30</xdr:row>
      <xdr:rowOff>35560</xdr:rowOff>
    </xdr:from>
    <xdr:to>
      <xdr:col>0</xdr:col>
      <xdr:colOff>1607820</xdr:colOff>
      <xdr:row>32</xdr:row>
      <xdr:rowOff>50800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3F28CD42-3F83-A5F4-A364-41FF01667E7B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967740</xdr:colOff>
      <xdr:row>24</xdr:row>
      <xdr:rowOff>381000</xdr:rowOff>
    </xdr:to>
    <xdr:sp macro="CriarAcademiaCompleta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21F87A08-5A39-5CF8-62AB-D1A294724938}"/>
            </a:ext>
          </a:extLst>
        </xdr:cNvPr>
        <xdr:cNvSpPr/>
      </xdr:nvSpPr>
      <xdr:spPr>
        <a:xfrm>
          <a:off x="1783080" y="8907780"/>
          <a:ext cx="96774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Criar Academia</a:t>
          </a:r>
        </a:p>
      </xdr:txBody>
    </xdr:sp>
    <xdr:clientData/>
  </xdr:twoCellAnchor>
  <xdr:twoCellAnchor editAs="oneCell">
    <xdr:from>
      <xdr:col>2</xdr:col>
      <xdr:colOff>1094740</xdr:colOff>
      <xdr:row>24</xdr:row>
      <xdr:rowOff>0</xdr:rowOff>
    </xdr:from>
    <xdr:to>
      <xdr:col>3</xdr:col>
      <xdr:colOff>828040</xdr:colOff>
      <xdr:row>24</xdr:row>
      <xdr:rowOff>381000</xdr:rowOff>
    </xdr:to>
    <xdr:sp macro="IrMaster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FB9E57A1-3BD1-AB70-8239-3E2A0B72E4B1}"/>
            </a:ext>
          </a:extLst>
        </xdr:cNvPr>
        <xdr:cNvSpPr/>
      </xdr:nvSpPr>
      <xdr:spPr>
        <a:xfrm>
          <a:off x="2877820" y="8907780"/>
          <a:ext cx="96774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Master</a:t>
          </a:r>
        </a:p>
      </xdr:txBody>
    </xdr:sp>
    <xdr:clientData/>
  </xdr:twoCellAnchor>
  <xdr:twoCellAnchor editAs="oneCell">
    <xdr:from>
      <xdr:col>3</xdr:col>
      <xdr:colOff>955040</xdr:colOff>
      <xdr:row>24</xdr:row>
      <xdr:rowOff>0</xdr:rowOff>
    </xdr:from>
    <xdr:to>
      <xdr:col>4</xdr:col>
      <xdr:colOff>825500</xdr:colOff>
      <xdr:row>24</xdr:row>
      <xdr:rowOff>381000</xdr:rowOff>
    </xdr:to>
    <xdr:sp macro="TrocarEmpres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B4E16B4-F1DC-AC07-B6A7-37F14377275C}"/>
            </a:ext>
          </a:extLst>
        </xdr:cNvPr>
        <xdr:cNvSpPr/>
      </xdr:nvSpPr>
      <xdr:spPr>
        <a:xfrm>
          <a:off x="3972560" y="8907780"/>
          <a:ext cx="96774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Trocar Empresa</a:t>
          </a:r>
        </a:p>
      </xdr:txBody>
    </xdr:sp>
    <xdr:clientData/>
  </xdr:twoCellAnchor>
  <xdr:twoCellAnchor editAs="oneCell">
    <xdr:from>
      <xdr:col>4</xdr:col>
      <xdr:colOff>952500</xdr:colOff>
      <xdr:row>24</xdr:row>
      <xdr:rowOff>0</xdr:rowOff>
    </xdr:from>
    <xdr:to>
      <xdr:col>6</xdr:col>
      <xdr:colOff>0</xdr:colOff>
      <xdr:row>24</xdr:row>
      <xdr:rowOff>381000</xdr:rowOff>
    </xdr:to>
    <xdr:sp macro="IrHome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5F4F00D5-39F8-722F-B3D2-110242E834D8}"/>
            </a:ext>
          </a:extLst>
        </xdr:cNvPr>
        <xdr:cNvSpPr/>
      </xdr:nvSpPr>
      <xdr:spPr>
        <a:xfrm>
          <a:off x="5067300" y="8907780"/>
          <a:ext cx="96774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1772F3AF-D768-5AA6-AB8E-6AD24C9E3C5A}"/>
            </a:ext>
          </a:extLst>
        </xdr:cNvPr>
        <xdr:cNvSpPr/>
      </xdr:nvSpPr>
      <xdr:spPr>
        <a:xfrm>
          <a:off x="38100" y="1043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6</xdr:row>
      <xdr:rowOff>411480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F8290E36-940D-651A-8155-E2EA48C5ACA7}"/>
            </a:ext>
          </a:extLst>
        </xdr:cNvPr>
        <xdr:cNvSpPr/>
      </xdr:nvSpPr>
      <xdr:spPr>
        <a:xfrm>
          <a:off x="38100" y="1501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7</xdr:row>
      <xdr:rowOff>60960</xdr:rowOff>
    </xdr:from>
    <xdr:to>
      <xdr:col>0</xdr:col>
      <xdr:colOff>1607820</xdr:colOff>
      <xdr:row>8</xdr:row>
      <xdr:rowOff>15240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22673F79-5B4D-B6E1-84F9-A6C0EBD39848}"/>
            </a:ext>
          </a:extLst>
        </xdr:cNvPr>
        <xdr:cNvSpPr/>
      </xdr:nvSpPr>
      <xdr:spPr>
        <a:xfrm>
          <a:off x="38100" y="19583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8</xdr:row>
      <xdr:rowOff>91440</xdr:rowOff>
    </xdr:from>
    <xdr:to>
      <xdr:col>0</xdr:col>
      <xdr:colOff>1607820</xdr:colOff>
      <xdr:row>9</xdr:row>
      <xdr:rowOff>45720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D71860DB-78B8-BB95-6ECE-ED406DA6507D}"/>
            </a:ext>
          </a:extLst>
        </xdr:cNvPr>
        <xdr:cNvSpPr/>
      </xdr:nvSpPr>
      <xdr:spPr>
        <a:xfrm>
          <a:off x="38100" y="24155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121920</xdr:rowOff>
    </xdr:from>
    <xdr:to>
      <xdr:col>0</xdr:col>
      <xdr:colOff>1607820</xdr:colOff>
      <xdr:row>10</xdr:row>
      <xdr:rowOff>76200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79D27872-72F9-3628-76A7-290CE7261B6D}"/>
            </a:ext>
          </a:extLst>
        </xdr:cNvPr>
        <xdr:cNvSpPr/>
      </xdr:nvSpPr>
      <xdr:spPr>
        <a:xfrm>
          <a:off x="38100" y="28727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152400</xdr:rowOff>
    </xdr:from>
    <xdr:to>
      <xdr:col>0</xdr:col>
      <xdr:colOff>1607820</xdr:colOff>
      <xdr:row>11</xdr:row>
      <xdr:rowOff>106680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B70D1C0A-28BD-BF44-985C-B280435D5C4B}"/>
            </a:ext>
          </a:extLst>
        </xdr:cNvPr>
        <xdr:cNvSpPr/>
      </xdr:nvSpPr>
      <xdr:spPr>
        <a:xfrm>
          <a:off x="38100" y="33299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182880</xdr:rowOff>
    </xdr:from>
    <xdr:to>
      <xdr:col>0</xdr:col>
      <xdr:colOff>1607820</xdr:colOff>
      <xdr:row>12</xdr:row>
      <xdr:rowOff>137160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03BCBFA5-4A03-4F66-8EFC-C4184F19919B}"/>
            </a:ext>
          </a:extLst>
        </xdr:cNvPr>
        <xdr:cNvSpPr/>
      </xdr:nvSpPr>
      <xdr:spPr>
        <a:xfrm>
          <a:off x="38100" y="378714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213360</xdr:rowOff>
    </xdr:from>
    <xdr:to>
      <xdr:col>0</xdr:col>
      <xdr:colOff>1607820</xdr:colOff>
      <xdr:row>13</xdr:row>
      <xdr:rowOff>167640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7A9D6DB2-7123-D0BF-2790-A507744D71FD}"/>
            </a:ext>
          </a:extLst>
        </xdr:cNvPr>
        <xdr:cNvSpPr/>
      </xdr:nvSpPr>
      <xdr:spPr>
        <a:xfrm>
          <a:off x="38100" y="4244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243840</xdr:rowOff>
    </xdr:from>
    <xdr:to>
      <xdr:col>0</xdr:col>
      <xdr:colOff>1607820</xdr:colOff>
      <xdr:row>14</xdr:row>
      <xdr:rowOff>198120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9ECB6EF0-B4F8-6043-12BE-19911DA60973}"/>
            </a:ext>
          </a:extLst>
        </xdr:cNvPr>
        <xdr:cNvSpPr/>
      </xdr:nvSpPr>
      <xdr:spPr>
        <a:xfrm>
          <a:off x="38100" y="4701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14</xdr:row>
      <xdr:rowOff>274320</xdr:rowOff>
    </xdr:from>
    <xdr:to>
      <xdr:col>0</xdr:col>
      <xdr:colOff>1607820</xdr:colOff>
      <xdr:row>15</xdr:row>
      <xdr:rowOff>228600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89BC2C9C-09CE-0CE4-4859-99D4C20735C6}"/>
            </a:ext>
          </a:extLst>
        </xdr:cNvPr>
        <xdr:cNvSpPr/>
      </xdr:nvSpPr>
      <xdr:spPr>
        <a:xfrm>
          <a:off x="38100" y="5158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304800</xdr:rowOff>
    </xdr:from>
    <xdr:to>
      <xdr:col>0</xdr:col>
      <xdr:colOff>1607820</xdr:colOff>
      <xdr:row>16</xdr:row>
      <xdr:rowOff>259080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80128EC6-E8CA-A4F5-8A0C-AC7EBD811932}"/>
            </a:ext>
          </a:extLst>
        </xdr:cNvPr>
        <xdr:cNvSpPr/>
      </xdr:nvSpPr>
      <xdr:spPr>
        <a:xfrm>
          <a:off x="38100" y="5615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335280</xdr:rowOff>
    </xdr:from>
    <xdr:to>
      <xdr:col>0</xdr:col>
      <xdr:colOff>1607820</xdr:colOff>
      <xdr:row>17</xdr:row>
      <xdr:rowOff>289560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10D2C066-9CD7-E2B5-4EFC-2BA6B52EDC9A}"/>
            </a:ext>
          </a:extLst>
        </xdr:cNvPr>
        <xdr:cNvSpPr/>
      </xdr:nvSpPr>
      <xdr:spPr>
        <a:xfrm>
          <a:off x="38100" y="6073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365760</xdr:rowOff>
    </xdr:from>
    <xdr:to>
      <xdr:col>0</xdr:col>
      <xdr:colOff>1607820</xdr:colOff>
      <xdr:row>18</xdr:row>
      <xdr:rowOff>320040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52280A3C-D978-A95E-EC4F-BC9523C1B394}"/>
            </a:ext>
          </a:extLst>
        </xdr:cNvPr>
        <xdr:cNvSpPr/>
      </xdr:nvSpPr>
      <xdr:spPr>
        <a:xfrm>
          <a:off x="38100" y="6530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396240</xdr:rowOff>
    </xdr:from>
    <xdr:to>
      <xdr:col>0</xdr:col>
      <xdr:colOff>1607820</xdr:colOff>
      <xdr:row>19</xdr:row>
      <xdr:rowOff>350520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52EBB7A4-1570-FE45-DAF8-78466C4D288C}"/>
            </a:ext>
          </a:extLst>
        </xdr:cNvPr>
        <xdr:cNvSpPr/>
      </xdr:nvSpPr>
      <xdr:spPr>
        <a:xfrm>
          <a:off x="38100" y="6987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0</xdr:rowOff>
    </xdr:from>
    <xdr:to>
      <xdr:col>0</xdr:col>
      <xdr:colOff>1607820</xdr:colOff>
      <xdr:row>20</xdr:row>
      <xdr:rowOff>381000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62C6A973-C048-5572-99B2-F96D97B065E6}"/>
            </a:ext>
          </a:extLst>
        </xdr:cNvPr>
        <xdr:cNvSpPr/>
      </xdr:nvSpPr>
      <xdr:spPr>
        <a:xfrm>
          <a:off x="38100" y="7444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30480</xdr:rowOff>
    </xdr:from>
    <xdr:to>
      <xdr:col>0</xdr:col>
      <xdr:colOff>1607820</xdr:colOff>
      <xdr:row>22</xdr:row>
      <xdr:rowOff>213360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B417AFC0-1CA9-D3D3-15A8-AE43568BE998}"/>
            </a:ext>
          </a:extLst>
        </xdr:cNvPr>
        <xdr:cNvSpPr/>
      </xdr:nvSpPr>
      <xdr:spPr>
        <a:xfrm>
          <a:off x="38100" y="79019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23</xdr:row>
      <xdr:rowOff>38100</xdr:rowOff>
    </xdr:from>
    <xdr:to>
      <xdr:col>0</xdr:col>
      <xdr:colOff>1607820</xdr:colOff>
      <xdr:row>25</xdr:row>
      <xdr:rowOff>22860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F41C7F07-51FE-7DE3-088F-E1D1F475EE90}"/>
            </a:ext>
          </a:extLst>
        </xdr:cNvPr>
        <xdr:cNvSpPr/>
      </xdr:nvSpPr>
      <xdr:spPr>
        <a:xfrm>
          <a:off x="38100" y="83591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25</xdr:row>
      <xdr:rowOff>99060</xdr:rowOff>
    </xdr:from>
    <xdr:to>
      <xdr:col>0</xdr:col>
      <xdr:colOff>1607820</xdr:colOff>
      <xdr:row>27</xdr:row>
      <xdr:rowOff>30480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8B98260A-2719-FE2B-3250-26B7DF84C8D6}"/>
            </a:ext>
          </a:extLst>
        </xdr:cNvPr>
        <xdr:cNvSpPr/>
      </xdr:nvSpPr>
      <xdr:spPr>
        <a:xfrm>
          <a:off x="38100" y="88163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27</xdr:row>
      <xdr:rowOff>106680</xdr:rowOff>
    </xdr:from>
    <xdr:to>
      <xdr:col>0</xdr:col>
      <xdr:colOff>1607820</xdr:colOff>
      <xdr:row>29</xdr:row>
      <xdr:rowOff>121920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090966D3-E737-346D-A737-21EDEB60C3EF}"/>
            </a:ext>
          </a:extLst>
        </xdr:cNvPr>
        <xdr:cNvSpPr/>
      </xdr:nvSpPr>
      <xdr:spPr>
        <a:xfrm>
          <a:off x="38100" y="92735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30</xdr:row>
      <xdr:rowOff>15240</xdr:rowOff>
    </xdr:from>
    <xdr:to>
      <xdr:col>0</xdr:col>
      <xdr:colOff>1607820</xdr:colOff>
      <xdr:row>32</xdr:row>
      <xdr:rowOff>30480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63B974A7-F6D2-8D53-C0CA-A0AAD28FF8B5}"/>
            </a:ext>
          </a:extLst>
        </xdr:cNvPr>
        <xdr:cNvSpPr/>
      </xdr:nvSpPr>
      <xdr:spPr>
        <a:xfrm>
          <a:off x="38100" y="973074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33</xdr:row>
      <xdr:rowOff>50800</xdr:rowOff>
    </xdr:from>
    <xdr:to>
      <xdr:col>0</xdr:col>
      <xdr:colOff>1607820</xdr:colOff>
      <xdr:row>35</xdr:row>
      <xdr:rowOff>66040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55DD849C-289F-E4F4-22CF-0F1899FF8B24}"/>
            </a:ext>
          </a:extLst>
        </xdr:cNvPr>
        <xdr:cNvSpPr/>
      </xdr:nvSpPr>
      <xdr:spPr>
        <a:xfrm>
          <a:off x="38100" y="1031494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772886</xdr:colOff>
      <xdr:row>39</xdr:row>
      <xdr:rowOff>15240</xdr:rowOff>
    </xdr:to>
    <xdr:sp macro="CadastrarUnidade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2F9A9143-2AAA-0AEC-CC8B-D19FE33150FA}"/>
            </a:ext>
          </a:extLst>
        </xdr:cNvPr>
        <xdr:cNvSpPr/>
      </xdr:nvSpPr>
      <xdr:spPr>
        <a:xfrm>
          <a:off x="1783080" y="10995660"/>
          <a:ext cx="772886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Salvar</a:t>
          </a:r>
        </a:p>
      </xdr:txBody>
    </xdr:sp>
    <xdr:clientData/>
  </xdr:twoCellAnchor>
  <xdr:twoCellAnchor editAs="oneCell">
    <xdr:from>
      <xdr:col>2</xdr:col>
      <xdr:colOff>899886</xdr:colOff>
      <xdr:row>37</xdr:row>
      <xdr:rowOff>0</xdr:rowOff>
    </xdr:from>
    <xdr:to>
      <xdr:col>3</xdr:col>
      <xdr:colOff>575491</xdr:colOff>
      <xdr:row>39</xdr:row>
      <xdr:rowOff>15240</xdr:rowOff>
    </xdr:to>
    <xdr:sp macro="EditarUnidade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40664515-E8D1-2F46-4710-2AABAC782B54}"/>
            </a:ext>
          </a:extLst>
        </xdr:cNvPr>
        <xdr:cNvSpPr/>
      </xdr:nvSpPr>
      <xdr:spPr>
        <a:xfrm>
          <a:off x="2682966" y="10995660"/>
          <a:ext cx="772885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Editar</a:t>
          </a:r>
        </a:p>
      </xdr:txBody>
    </xdr:sp>
    <xdr:clientData/>
  </xdr:twoCellAnchor>
  <xdr:twoCellAnchor editAs="oneCell">
    <xdr:from>
      <xdr:col>3</xdr:col>
      <xdr:colOff>702491</xdr:colOff>
      <xdr:row>37</xdr:row>
      <xdr:rowOff>0</xdr:rowOff>
    </xdr:from>
    <xdr:to>
      <xdr:col>4</xdr:col>
      <xdr:colOff>240937</xdr:colOff>
      <xdr:row>39</xdr:row>
      <xdr:rowOff>15240</xdr:rowOff>
    </xdr:to>
    <xdr:sp macro="TrocarUnidad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B0718325-6A95-67A4-0A87-73879B3E2C36}"/>
            </a:ext>
          </a:extLst>
        </xdr:cNvPr>
        <xdr:cNvSpPr/>
      </xdr:nvSpPr>
      <xdr:spPr>
        <a:xfrm>
          <a:off x="3582851" y="10995660"/>
          <a:ext cx="772886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Trocar</a:t>
          </a:r>
        </a:p>
      </xdr:txBody>
    </xdr:sp>
    <xdr:clientData/>
  </xdr:twoCellAnchor>
  <xdr:twoCellAnchor editAs="oneCell">
    <xdr:from>
      <xdr:col>4</xdr:col>
      <xdr:colOff>367937</xdr:colOff>
      <xdr:row>37</xdr:row>
      <xdr:rowOff>0</xdr:rowOff>
    </xdr:from>
    <xdr:to>
      <xdr:col>5</xdr:col>
      <xdr:colOff>180703</xdr:colOff>
      <xdr:row>39</xdr:row>
      <xdr:rowOff>15240</xdr:rowOff>
    </xdr:to>
    <xdr:sp macro="TransferirEstoque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1F01F1DF-DB9D-9D01-89C9-7D8ECCCD074A}"/>
            </a:ext>
          </a:extLst>
        </xdr:cNvPr>
        <xdr:cNvSpPr/>
      </xdr:nvSpPr>
      <xdr:spPr>
        <a:xfrm>
          <a:off x="4482737" y="10995660"/>
          <a:ext cx="772886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Transferir</a:t>
          </a:r>
        </a:p>
      </xdr:txBody>
    </xdr:sp>
    <xdr:clientData/>
  </xdr:twoCellAnchor>
  <xdr:twoCellAnchor editAs="oneCell">
    <xdr:from>
      <xdr:col>5</xdr:col>
      <xdr:colOff>307703</xdr:colOff>
      <xdr:row>37</xdr:row>
      <xdr:rowOff>0</xdr:rowOff>
    </xdr:from>
    <xdr:to>
      <xdr:col>6</xdr:col>
      <xdr:colOff>120469</xdr:colOff>
      <xdr:row>39</xdr:row>
      <xdr:rowOff>15240</xdr:rowOff>
    </xdr:to>
    <xdr:sp macro="AtualizarDashboardUnidade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EE5385A7-AF13-9DB5-D852-0F13780CFA18}"/>
            </a:ext>
          </a:extLst>
        </xdr:cNvPr>
        <xdr:cNvSpPr/>
      </xdr:nvSpPr>
      <xdr:spPr>
        <a:xfrm>
          <a:off x="5382623" y="10995660"/>
          <a:ext cx="772886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KPIs</a:t>
          </a:r>
        </a:p>
      </xdr:txBody>
    </xdr:sp>
    <xdr:clientData/>
  </xdr:twoCellAnchor>
  <xdr:twoCellAnchor editAs="oneCell">
    <xdr:from>
      <xdr:col>6</xdr:col>
      <xdr:colOff>247468</xdr:colOff>
      <xdr:row>37</xdr:row>
      <xdr:rowOff>0</xdr:rowOff>
    </xdr:from>
    <xdr:to>
      <xdr:col>7</xdr:col>
      <xdr:colOff>60234</xdr:colOff>
      <xdr:row>39</xdr:row>
      <xdr:rowOff>15240</xdr:rowOff>
    </xdr:to>
    <xdr:sp macro="VincularProfessorUnidade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92B7EA1D-26DE-5B04-4623-ED206247A937}"/>
            </a:ext>
          </a:extLst>
        </xdr:cNvPr>
        <xdr:cNvSpPr/>
      </xdr:nvSpPr>
      <xdr:spPr>
        <a:xfrm>
          <a:off x="6282508" y="10995660"/>
          <a:ext cx="772886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Prof×Unid</a:t>
          </a:r>
        </a:p>
      </xdr:txBody>
    </xdr:sp>
    <xdr:clientData/>
  </xdr:twoCellAnchor>
  <xdr:twoCellAnchor editAs="oneCell">
    <xdr:from>
      <xdr:col>7</xdr:col>
      <xdr:colOff>187234</xdr:colOff>
      <xdr:row>37</xdr:row>
      <xdr:rowOff>0</xdr:rowOff>
    </xdr:from>
    <xdr:to>
      <xdr:col>8</xdr:col>
      <xdr:colOff>0</xdr:colOff>
      <xdr:row>39</xdr:row>
      <xdr:rowOff>15240</xdr:rowOff>
    </xdr:to>
    <xdr:sp macro="IrHom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E4B7A574-9C27-BBD2-DA8E-B91F04552B9F}"/>
            </a:ext>
          </a:extLst>
        </xdr:cNvPr>
        <xdr:cNvSpPr/>
      </xdr:nvSpPr>
      <xdr:spPr>
        <a:xfrm>
          <a:off x="7182394" y="10995660"/>
          <a:ext cx="772886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25F8CF87-8C9A-4636-DB5E-A1006DC11B3B}"/>
            </a:ext>
          </a:extLst>
        </xdr:cNvPr>
        <xdr:cNvSpPr/>
      </xdr:nvSpPr>
      <xdr:spPr>
        <a:xfrm>
          <a:off x="38100" y="10668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6</xdr:row>
      <xdr:rowOff>411480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34A45FDE-8F31-C249-9F4C-642D17C5F720}"/>
            </a:ext>
          </a:extLst>
        </xdr:cNvPr>
        <xdr:cNvSpPr/>
      </xdr:nvSpPr>
      <xdr:spPr>
        <a:xfrm>
          <a:off x="38100" y="152400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7</xdr:row>
      <xdr:rowOff>60960</xdr:rowOff>
    </xdr:from>
    <xdr:to>
      <xdr:col>0</xdr:col>
      <xdr:colOff>1607820</xdr:colOff>
      <xdr:row>8</xdr:row>
      <xdr:rowOff>243840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41E6C851-8FFE-1A1D-74AB-F82522AB7D37}"/>
            </a:ext>
          </a:extLst>
        </xdr:cNvPr>
        <xdr:cNvSpPr/>
      </xdr:nvSpPr>
      <xdr:spPr>
        <a:xfrm>
          <a:off x="38100" y="198120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68580</xdr:rowOff>
    </xdr:from>
    <xdr:to>
      <xdr:col>0</xdr:col>
      <xdr:colOff>1607820</xdr:colOff>
      <xdr:row>11</xdr:row>
      <xdr:rowOff>53340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CC6D3834-A796-7F55-826A-D01BD00F42B8}"/>
            </a:ext>
          </a:extLst>
        </xdr:cNvPr>
        <xdr:cNvSpPr/>
      </xdr:nvSpPr>
      <xdr:spPr>
        <a:xfrm>
          <a:off x="38100" y="243840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11</xdr:row>
      <xdr:rowOff>129540</xdr:rowOff>
    </xdr:from>
    <xdr:to>
      <xdr:col>0</xdr:col>
      <xdr:colOff>1607820</xdr:colOff>
      <xdr:row>13</xdr:row>
      <xdr:rowOff>60960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C20D2761-E3BC-47C3-3821-D3CDE0BEAB84}"/>
            </a:ext>
          </a:extLst>
        </xdr:cNvPr>
        <xdr:cNvSpPr/>
      </xdr:nvSpPr>
      <xdr:spPr>
        <a:xfrm>
          <a:off x="38100" y="289560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137160</xdr:rowOff>
    </xdr:from>
    <xdr:to>
      <xdr:col>0</xdr:col>
      <xdr:colOff>1607820</xdr:colOff>
      <xdr:row>14</xdr:row>
      <xdr:rowOff>91440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D4201DCA-A95F-640E-6055-065C3CF56EF3}"/>
            </a:ext>
          </a:extLst>
        </xdr:cNvPr>
        <xdr:cNvSpPr/>
      </xdr:nvSpPr>
      <xdr:spPr>
        <a:xfrm>
          <a:off x="38100" y="335280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14</xdr:row>
      <xdr:rowOff>167640</xdr:rowOff>
    </xdr:from>
    <xdr:to>
      <xdr:col>0</xdr:col>
      <xdr:colOff>1607820</xdr:colOff>
      <xdr:row>15</xdr:row>
      <xdr:rowOff>121920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C83B4101-0FFC-A975-497A-E01C671CE9D4}"/>
            </a:ext>
          </a:extLst>
        </xdr:cNvPr>
        <xdr:cNvSpPr/>
      </xdr:nvSpPr>
      <xdr:spPr>
        <a:xfrm>
          <a:off x="38100" y="381000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198120</xdr:rowOff>
    </xdr:from>
    <xdr:to>
      <xdr:col>0</xdr:col>
      <xdr:colOff>1607820</xdr:colOff>
      <xdr:row>16</xdr:row>
      <xdr:rowOff>152400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036915B4-A995-D6D8-28DA-0BE5EB7F526E}"/>
            </a:ext>
          </a:extLst>
        </xdr:cNvPr>
        <xdr:cNvSpPr/>
      </xdr:nvSpPr>
      <xdr:spPr>
        <a:xfrm>
          <a:off x="38100" y="42672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228600</xdr:rowOff>
    </xdr:from>
    <xdr:to>
      <xdr:col>0</xdr:col>
      <xdr:colOff>1607820</xdr:colOff>
      <xdr:row>17</xdr:row>
      <xdr:rowOff>182880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50005622-737E-2634-0923-BEFD3C07BA9D}"/>
            </a:ext>
          </a:extLst>
        </xdr:cNvPr>
        <xdr:cNvSpPr/>
      </xdr:nvSpPr>
      <xdr:spPr>
        <a:xfrm>
          <a:off x="38100" y="47244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17</xdr:row>
      <xdr:rowOff>259080</xdr:rowOff>
    </xdr:from>
    <xdr:to>
      <xdr:col>0</xdr:col>
      <xdr:colOff>1607820</xdr:colOff>
      <xdr:row>18</xdr:row>
      <xdr:rowOff>213360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63472792-633A-EFF5-5235-446128EFC1D3}"/>
            </a:ext>
          </a:extLst>
        </xdr:cNvPr>
        <xdr:cNvSpPr/>
      </xdr:nvSpPr>
      <xdr:spPr>
        <a:xfrm>
          <a:off x="38100" y="51816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289560</xdr:rowOff>
    </xdr:from>
    <xdr:to>
      <xdr:col>0</xdr:col>
      <xdr:colOff>1607820</xdr:colOff>
      <xdr:row>19</xdr:row>
      <xdr:rowOff>243840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3E561C6E-8371-C847-8F6F-4D97DC46FDFD}"/>
            </a:ext>
          </a:extLst>
        </xdr:cNvPr>
        <xdr:cNvSpPr/>
      </xdr:nvSpPr>
      <xdr:spPr>
        <a:xfrm>
          <a:off x="38100" y="56388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320040</xdr:rowOff>
    </xdr:from>
    <xdr:to>
      <xdr:col>0</xdr:col>
      <xdr:colOff>1607820</xdr:colOff>
      <xdr:row>20</xdr:row>
      <xdr:rowOff>274320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97D73694-3FDB-2533-8684-E7B118B2E62C}"/>
            </a:ext>
          </a:extLst>
        </xdr:cNvPr>
        <xdr:cNvSpPr/>
      </xdr:nvSpPr>
      <xdr:spPr>
        <a:xfrm>
          <a:off x="38100" y="60960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20</xdr:row>
      <xdr:rowOff>350520</xdr:rowOff>
    </xdr:from>
    <xdr:to>
      <xdr:col>0</xdr:col>
      <xdr:colOff>1607820</xdr:colOff>
      <xdr:row>21</xdr:row>
      <xdr:rowOff>304800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9551FAB6-3757-3A32-A69E-924623BE8A79}"/>
            </a:ext>
          </a:extLst>
        </xdr:cNvPr>
        <xdr:cNvSpPr/>
      </xdr:nvSpPr>
      <xdr:spPr>
        <a:xfrm>
          <a:off x="38100" y="65532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381000</xdr:rowOff>
    </xdr:from>
    <xdr:to>
      <xdr:col>0</xdr:col>
      <xdr:colOff>1607820</xdr:colOff>
      <xdr:row>22</xdr:row>
      <xdr:rowOff>335280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EB843F45-F63D-9222-3D70-023822BB2B5F}"/>
            </a:ext>
          </a:extLst>
        </xdr:cNvPr>
        <xdr:cNvSpPr/>
      </xdr:nvSpPr>
      <xdr:spPr>
        <a:xfrm>
          <a:off x="38100" y="70104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411480</xdr:rowOff>
    </xdr:from>
    <xdr:to>
      <xdr:col>0</xdr:col>
      <xdr:colOff>1607820</xdr:colOff>
      <xdr:row>24</xdr:row>
      <xdr:rowOff>137160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9B20AE3D-DB37-12CB-AD2A-D30239D91C75}"/>
            </a:ext>
          </a:extLst>
        </xdr:cNvPr>
        <xdr:cNvSpPr/>
      </xdr:nvSpPr>
      <xdr:spPr>
        <a:xfrm>
          <a:off x="38100" y="74676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25</xdr:row>
      <xdr:rowOff>30480</xdr:rowOff>
    </xdr:from>
    <xdr:to>
      <xdr:col>0</xdr:col>
      <xdr:colOff>1607820</xdr:colOff>
      <xdr:row>27</xdr:row>
      <xdr:rowOff>45720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8758A52A-5751-0EAB-75D5-497B7388C9E3}"/>
            </a:ext>
          </a:extLst>
        </xdr:cNvPr>
        <xdr:cNvSpPr/>
      </xdr:nvSpPr>
      <xdr:spPr>
        <a:xfrm>
          <a:off x="38100" y="79248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27</xdr:row>
      <xdr:rowOff>121920</xdr:rowOff>
    </xdr:from>
    <xdr:to>
      <xdr:col>0</xdr:col>
      <xdr:colOff>1607820</xdr:colOff>
      <xdr:row>29</xdr:row>
      <xdr:rowOff>137160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E344E1C4-95A3-6FA4-77A3-CA3687F92C1E}"/>
            </a:ext>
          </a:extLst>
        </xdr:cNvPr>
        <xdr:cNvSpPr/>
      </xdr:nvSpPr>
      <xdr:spPr>
        <a:xfrm>
          <a:off x="38100" y="83820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30</xdr:row>
      <xdr:rowOff>30480</xdr:rowOff>
    </xdr:from>
    <xdr:to>
      <xdr:col>0</xdr:col>
      <xdr:colOff>1607820</xdr:colOff>
      <xdr:row>32</xdr:row>
      <xdr:rowOff>45720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6BD61F7B-9DC9-3565-FB53-F4C71DA5C943}"/>
            </a:ext>
          </a:extLst>
        </xdr:cNvPr>
        <xdr:cNvSpPr/>
      </xdr:nvSpPr>
      <xdr:spPr>
        <a:xfrm>
          <a:off x="38100" y="88392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32</xdr:row>
      <xdr:rowOff>121920</xdr:rowOff>
    </xdr:from>
    <xdr:to>
      <xdr:col>0</xdr:col>
      <xdr:colOff>1607820</xdr:colOff>
      <xdr:row>34</xdr:row>
      <xdr:rowOff>137160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EA53A6E4-6430-68F5-A203-C714B05F3747}"/>
            </a:ext>
          </a:extLst>
        </xdr:cNvPr>
        <xdr:cNvSpPr/>
      </xdr:nvSpPr>
      <xdr:spPr>
        <a:xfrm>
          <a:off x="38100" y="92964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35</xdr:row>
      <xdr:rowOff>30480</xdr:rowOff>
    </xdr:from>
    <xdr:to>
      <xdr:col>0</xdr:col>
      <xdr:colOff>1607820</xdr:colOff>
      <xdr:row>37</xdr:row>
      <xdr:rowOff>45720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86C5C60C-6923-ED8E-E230-ADA80183249F}"/>
            </a:ext>
          </a:extLst>
        </xdr:cNvPr>
        <xdr:cNvSpPr/>
      </xdr:nvSpPr>
      <xdr:spPr>
        <a:xfrm>
          <a:off x="38100" y="975360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38</xdr:row>
      <xdr:rowOff>66040</xdr:rowOff>
    </xdr:from>
    <xdr:to>
      <xdr:col>0</xdr:col>
      <xdr:colOff>1607820</xdr:colOff>
      <xdr:row>40</xdr:row>
      <xdr:rowOff>81280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B42BAAF4-CD23-31DE-F94C-F1B4202DCC8F}"/>
            </a:ext>
          </a:extLst>
        </xdr:cNvPr>
        <xdr:cNvSpPr/>
      </xdr:nvSpPr>
      <xdr:spPr>
        <a:xfrm>
          <a:off x="38100" y="1033780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900007</xdr:colOff>
      <xdr:row>45</xdr:row>
      <xdr:rowOff>15240</xdr:rowOff>
    </xdr:to>
    <xdr:sp macro="CadastrarFranquead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36DF0CF1-7CE6-44BB-E9FB-68D0AC6EE8D8}"/>
            </a:ext>
          </a:extLst>
        </xdr:cNvPr>
        <xdr:cNvSpPr/>
      </xdr:nvSpPr>
      <xdr:spPr>
        <a:xfrm>
          <a:off x="1783080" y="11186160"/>
          <a:ext cx="900007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Salvar Franqueado</a:t>
          </a:r>
        </a:p>
      </xdr:txBody>
    </xdr:sp>
    <xdr:clientData/>
  </xdr:twoCellAnchor>
  <xdr:twoCellAnchor editAs="oneCell">
    <xdr:from>
      <xdr:col>2</xdr:col>
      <xdr:colOff>1027007</xdr:colOff>
      <xdr:row>43</xdr:row>
      <xdr:rowOff>0</xdr:rowOff>
    </xdr:from>
    <xdr:to>
      <xdr:col>3</xdr:col>
      <xdr:colOff>829733</xdr:colOff>
      <xdr:row>45</xdr:row>
      <xdr:rowOff>15240</xdr:rowOff>
    </xdr:to>
    <xdr:sp macro="EditarFranquia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4049CF2D-65D8-5450-6A76-243293A48BF5}"/>
            </a:ext>
          </a:extLst>
        </xdr:cNvPr>
        <xdr:cNvSpPr/>
      </xdr:nvSpPr>
      <xdr:spPr>
        <a:xfrm>
          <a:off x="2810087" y="11186160"/>
          <a:ext cx="900006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Editar</a:t>
          </a:r>
        </a:p>
      </xdr:txBody>
    </xdr:sp>
    <xdr:clientData/>
  </xdr:twoCellAnchor>
  <xdr:twoCellAnchor editAs="oneCell">
    <xdr:from>
      <xdr:col>3</xdr:col>
      <xdr:colOff>956733</xdr:colOff>
      <xdr:row>43</xdr:row>
      <xdr:rowOff>0</xdr:rowOff>
    </xdr:from>
    <xdr:to>
      <xdr:col>4</xdr:col>
      <xdr:colOff>759460</xdr:colOff>
      <xdr:row>45</xdr:row>
      <xdr:rowOff>15240</xdr:rowOff>
    </xdr:to>
    <xdr:sp macro="CalcularRoyalties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6C28D7BE-5D64-B52D-C177-A87EFD99A574}"/>
            </a:ext>
          </a:extLst>
        </xdr:cNvPr>
        <xdr:cNvSpPr/>
      </xdr:nvSpPr>
      <xdr:spPr>
        <a:xfrm>
          <a:off x="3837093" y="11186160"/>
          <a:ext cx="900007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Royalties</a:t>
          </a:r>
        </a:p>
      </xdr:txBody>
    </xdr:sp>
    <xdr:clientData/>
  </xdr:twoCellAnchor>
  <xdr:twoCellAnchor editAs="oneCell">
    <xdr:from>
      <xdr:col>4</xdr:col>
      <xdr:colOff>886460</xdr:colOff>
      <xdr:row>43</xdr:row>
      <xdr:rowOff>0</xdr:rowOff>
    </xdr:from>
    <xdr:to>
      <xdr:col>5</xdr:col>
      <xdr:colOff>826347</xdr:colOff>
      <xdr:row>45</xdr:row>
      <xdr:rowOff>15240</xdr:rowOff>
    </xdr:to>
    <xdr:sp macro="AtualizarDashboardFranqueador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48386001-326E-1A19-E53B-00E94A4D43EC}"/>
            </a:ext>
          </a:extLst>
        </xdr:cNvPr>
        <xdr:cNvSpPr/>
      </xdr:nvSpPr>
      <xdr:spPr>
        <a:xfrm>
          <a:off x="4864100" y="11186160"/>
          <a:ext cx="900007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KPIs</a:t>
          </a:r>
        </a:p>
      </xdr:txBody>
    </xdr:sp>
    <xdr:clientData/>
  </xdr:twoCellAnchor>
  <xdr:twoCellAnchor editAs="oneCell">
    <xdr:from>
      <xdr:col>5</xdr:col>
      <xdr:colOff>953347</xdr:colOff>
      <xdr:row>43</xdr:row>
      <xdr:rowOff>0</xdr:rowOff>
    </xdr:from>
    <xdr:to>
      <xdr:col>6</xdr:col>
      <xdr:colOff>893233</xdr:colOff>
      <xdr:row>45</xdr:row>
      <xdr:rowOff>15240</xdr:rowOff>
    </xdr:to>
    <xdr:sp macro="GerarRelatorioFranqueadora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375C6CD7-4C6C-4F6B-4C05-6ED96E7EFA20}"/>
            </a:ext>
          </a:extLst>
        </xdr:cNvPr>
        <xdr:cNvSpPr/>
      </xdr:nvSpPr>
      <xdr:spPr>
        <a:xfrm>
          <a:off x="5891107" y="11186160"/>
          <a:ext cx="900006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Relatório</a:t>
          </a:r>
        </a:p>
      </xdr:txBody>
    </xdr:sp>
    <xdr:clientData/>
  </xdr:twoCellAnchor>
  <xdr:twoCellAnchor editAs="oneCell">
    <xdr:from>
      <xdr:col>7</xdr:col>
      <xdr:colOff>60113</xdr:colOff>
      <xdr:row>43</xdr:row>
      <xdr:rowOff>0</xdr:rowOff>
    </xdr:from>
    <xdr:to>
      <xdr:col>8</xdr:col>
      <xdr:colOff>0</xdr:colOff>
      <xdr:row>45</xdr:row>
      <xdr:rowOff>15240</xdr:rowOff>
    </xdr:to>
    <xdr:sp macro="IrHome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E4323156-FC17-D812-C4CE-3A2C6B388C50}"/>
            </a:ext>
          </a:extLst>
        </xdr:cNvPr>
        <xdr:cNvSpPr/>
      </xdr:nvSpPr>
      <xdr:spPr>
        <a:xfrm>
          <a:off x="6918113" y="11186160"/>
          <a:ext cx="900007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0</xdr:rowOff>
    </xdr:from>
    <xdr:to>
      <xdr:col>0</xdr:col>
      <xdr:colOff>1607820</xdr:colOff>
      <xdr:row>5</xdr:row>
      <xdr:rowOff>381000</xdr:rowOff>
    </xdr:to>
    <xdr:sp macro="IrHome" textlink="">
      <xdr:nvSpPr>
        <xdr:cNvPr id="2" name="mnuHome">
          <a:extLst>
            <a:ext uri="{FF2B5EF4-FFF2-40B4-BE49-F238E27FC236}">
              <a16:creationId xmlns:a16="http://schemas.microsoft.com/office/drawing/2014/main" id="{4E4A3DEB-8F43-B711-FBAB-8A8347828CC5}"/>
            </a:ext>
          </a:extLst>
        </xdr:cNvPr>
        <xdr:cNvSpPr/>
      </xdr:nvSpPr>
      <xdr:spPr>
        <a:xfrm>
          <a:off x="38100" y="10134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🏠 Home</a:t>
          </a:r>
        </a:p>
      </xdr:txBody>
    </xdr:sp>
    <xdr:clientData/>
  </xdr:twoCellAnchor>
  <xdr:twoCellAnchor editAs="oneCell">
    <xdr:from>
      <xdr:col>0</xdr:col>
      <xdr:colOff>38100</xdr:colOff>
      <xdr:row>6</xdr:row>
      <xdr:rowOff>30480</xdr:rowOff>
    </xdr:from>
    <xdr:to>
      <xdr:col>0</xdr:col>
      <xdr:colOff>1607820</xdr:colOff>
      <xdr:row>7</xdr:row>
      <xdr:rowOff>106680</xdr:rowOff>
    </xdr:to>
    <xdr:sp macro="IrMaster" textlink="">
      <xdr:nvSpPr>
        <xdr:cNvPr id="3" name="mnuMaster">
          <a:extLst>
            <a:ext uri="{FF2B5EF4-FFF2-40B4-BE49-F238E27FC236}">
              <a16:creationId xmlns:a16="http://schemas.microsoft.com/office/drawing/2014/main" id="{7BFEE75B-4609-4D21-6709-825EBEE0DBBA}"/>
            </a:ext>
          </a:extLst>
        </xdr:cNvPr>
        <xdr:cNvSpPr/>
      </xdr:nvSpPr>
      <xdr:spPr>
        <a:xfrm>
          <a:off x="38100" y="14706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🏢 Master</a:t>
          </a:r>
        </a:p>
      </xdr:txBody>
    </xdr:sp>
    <xdr:clientData/>
  </xdr:twoCellAnchor>
  <xdr:twoCellAnchor editAs="oneCell">
    <xdr:from>
      <xdr:col>0</xdr:col>
      <xdr:colOff>38100</xdr:colOff>
      <xdr:row>7</xdr:row>
      <xdr:rowOff>182880</xdr:rowOff>
    </xdr:from>
    <xdr:to>
      <xdr:col>0</xdr:col>
      <xdr:colOff>1607820</xdr:colOff>
      <xdr:row>8</xdr:row>
      <xdr:rowOff>259080</xdr:rowOff>
    </xdr:to>
    <xdr:sp macro="IrFranqueadora" textlink="">
      <xdr:nvSpPr>
        <xdr:cNvPr id="4" name="mnuFranquia">
          <a:extLst>
            <a:ext uri="{FF2B5EF4-FFF2-40B4-BE49-F238E27FC236}">
              <a16:creationId xmlns:a16="http://schemas.microsoft.com/office/drawing/2014/main" id="{0B218EDF-C7F1-CE93-4397-C2D4B6B0DA20}"/>
            </a:ext>
          </a:extLst>
        </xdr:cNvPr>
        <xdr:cNvSpPr/>
      </xdr:nvSpPr>
      <xdr:spPr>
        <a:xfrm>
          <a:off x="38100" y="19278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🌐 Franquia</a:t>
          </a:r>
        </a:p>
      </xdr:txBody>
    </xdr:sp>
    <xdr:clientData/>
  </xdr:twoCellAnchor>
  <xdr:twoCellAnchor editAs="oneCell">
    <xdr:from>
      <xdr:col>0</xdr:col>
      <xdr:colOff>38100</xdr:colOff>
      <xdr:row>9</xdr:row>
      <xdr:rowOff>30480</xdr:rowOff>
    </xdr:from>
    <xdr:to>
      <xdr:col>0</xdr:col>
      <xdr:colOff>1607820</xdr:colOff>
      <xdr:row>10</xdr:row>
      <xdr:rowOff>106680</xdr:rowOff>
    </xdr:to>
    <xdr:sp macro="IrUnidades" textlink="">
      <xdr:nvSpPr>
        <xdr:cNvPr id="5" name="mnuUnidades">
          <a:extLst>
            <a:ext uri="{FF2B5EF4-FFF2-40B4-BE49-F238E27FC236}">
              <a16:creationId xmlns:a16="http://schemas.microsoft.com/office/drawing/2014/main" id="{E9CD160A-1503-50DF-8D2C-AD6CC580D102}"/>
            </a:ext>
          </a:extLst>
        </xdr:cNvPr>
        <xdr:cNvSpPr/>
      </xdr:nvSpPr>
      <xdr:spPr>
        <a:xfrm>
          <a:off x="38100" y="23850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🏛 Unidades</a:t>
          </a:r>
        </a:p>
      </xdr:txBody>
    </xdr:sp>
    <xdr:clientData/>
  </xdr:twoCellAnchor>
  <xdr:twoCellAnchor editAs="oneCell">
    <xdr:from>
      <xdr:col>0</xdr:col>
      <xdr:colOff>38100</xdr:colOff>
      <xdr:row>10</xdr:row>
      <xdr:rowOff>182880</xdr:rowOff>
    </xdr:from>
    <xdr:to>
      <xdr:col>0</xdr:col>
      <xdr:colOff>1607820</xdr:colOff>
      <xdr:row>11</xdr:row>
      <xdr:rowOff>259080</xdr:rowOff>
    </xdr:to>
    <xdr:sp macro="IrAthenaAI" textlink="">
      <xdr:nvSpPr>
        <xdr:cNvPr id="6" name="mnuAthena">
          <a:extLst>
            <a:ext uri="{FF2B5EF4-FFF2-40B4-BE49-F238E27FC236}">
              <a16:creationId xmlns:a16="http://schemas.microsoft.com/office/drawing/2014/main" id="{55F16FC4-3E02-0CA1-AE2C-26572E34DEAD}"/>
            </a:ext>
          </a:extLst>
        </xdr:cNvPr>
        <xdr:cNvSpPr/>
      </xdr:nvSpPr>
      <xdr:spPr>
        <a:xfrm>
          <a:off x="38100" y="28422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🤖 Athena</a:t>
          </a:r>
        </a:p>
      </xdr:txBody>
    </xdr:sp>
    <xdr:clientData/>
  </xdr:twoCellAnchor>
  <xdr:twoCellAnchor editAs="oneCell">
    <xdr:from>
      <xdr:col>0</xdr:col>
      <xdr:colOff>38100</xdr:colOff>
      <xdr:row>12</xdr:row>
      <xdr:rowOff>30480</xdr:rowOff>
    </xdr:from>
    <xdr:to>
      <xdr:col>0</xdr:col>
      <xdr:colOff>1607820</xdr:colOff>
      <xdr:row>13</xdr:row>
      <xdr:rowOff>106680</xdr:rowOff>
    </xdr:to>
    <xdr:sp macro="IrBIExecutivo" textlink="">
      <xdr:nvSpPr>
        <xdr:cNvPr id="7" name="mnuBI">
          <a:extLst>
            <a:ext uri="{FF2B5EF4-FFF2-40B4-BE49-F238E27FC236}">
              <a16:creationId xmlns:a16="http://schemas.microsoft.com/office/drawing/2014/main" id="{B1AF18B0-F635-A7D8-13E6-16AFD82F0951}"/>
            </a:ext>
          </a:extLst>
        </xdr:cNvPr>
        <xdr:cNvSpPr/>
      </xdr:nvSpPr>
      <xdr:spPr>
        <a:xfrm>
          <a:off x="38100" y="32994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📈 BI</a:t>
          </a:r>
        </a:p>
      </xdr:txBody>
    </xdr:sp>
    <xdr:clientData/>
  </xdr:twoCellAnchor>
  <xdr:twoCellAnchor editAs="oneCell">
    <xdr:from>
      <xdr:col>0</xdr:col>
      <xdr:colOff>38100</xdr:colOff>
      <xdr:row>13</xdr:row>
      <xdr:rowOff>182880</xdr:rowOff>
    </xdr:from>
    <xdr:to>
      <xdr:col>0</xdr:col>
      <xdr:colOff>1607820</xdr:colOff>
      <xdr:row>14</xdr:row>
      <xdr:rowOff>259080</xdr:rowOff>
    </xdr:to>
    <xdr:sp macro="IrDashboard" textlink="">
      <xdr:nvSpPr>
        <xdr:cNvPr id="8" name="mnuDashboard">
          <a:extLst>
            <a:ext uri="{FF2B5EF4-FFF2-40B4-BE49-F238E27FC236}">
              <a16:creationId xmlns:a16="http://schemas.microsoft.com/office/drawing/2014/main" id="{33797D50-421D-CDDA-AA66-6DCD163FBA05}"/>
            </a:ext>
          </a:extLst>
        </xdr:cNvPr>
        <xdr:cNvSpPr/>
      </xdr:nvSpPr>
      <xdr:spPr>
        <a:xfrm>
          <a:off x="38100" y="37566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📊 Dashboard</a:t>
          </a:r>
        </a:p>
      </xdr:txBody>
    </xdr:sp>
    <xdr:clientData/>
  </xdr:twoCellAnchor>
  <xdr:twoCellAnchor editAs="oneCell">
    <xdr:from>
      <xdr:col>0</xdr:col>
      <xdr:colOff>38100</xdr:colOff>
      <xdr:row>15</xdr:row>
      <xdr:rowOff>30480</xdr:rowOff>
    </xdr:from>
    <xdr:to>
      <xdr:col>0</xdr:col>
      <xdr:colOff>1607820</xdr:colOff>
      <xdr:row>16</xdr:row>
      <xdr:rowOff>106680</xdr:rowOff>
    </xdr:to>
    <xdr:sp macro="IrPortalAluno" textlink="">
      <xdr:nvSpPr>
        <xdr:cNvPr id="9" name="mnuPortal">
          <a:extLst>
            <a:ext uri="{FF2B5EF4-FFF2-40B4-BE49-F238E27FC236}">
              <a16:creationId xmlns:a16="http://schemas.microsoft.com/office/drawing/2014/main" id="{EAF2ADCC-0818-5B66-9059-A9CA933C493D}"/>
            </a:ext>
          </a:extLst>
        </xdr:cNvPr>
        <xdr:cNvSpPr/>
      </xdr:nvSpPr>
      <xdr:spPr>
        <a:xfrm>
          <a:off x="38100" y="42138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📱 Portal</a:t>
          </a:r>
        </a:p>
      </xdr:txBody>
    </xdr:sp>
    <xdr:clientData/>
  </xdr:twoCellAnchor>
  <xdr:twoCellAnchor editAs="oneCell">
    <xdr:from>
      <xdr:col>0</xdr:col>
      <xdr:colOff>38100</xdr:colOff>
      <xdr:row>16</xdr:row>
      <xdr:rowOff>182880</xdr:rowOff>
    </xdr:from>
    <xdr:to>
      <xdr:col>0</xdr:col>
      <xdr:colOff>1607820</xdr:colOff>
      <xdr:row>17</xdr:row>
      <xdr:rowOff>259080</xdr:rowOff>
    </xdr:to>
    <xdr:sp macro="IrPortalOps" textlink="">
      <xdr:nvSpPr>
        <xdr:cNvPr id="10" name="mnuPortalOps">
          <a:extLst>
            <a:ext uri="{FF2B5EF4-FFF2-40B4-BE49-F238E27FC236}">
              <a16:creationId xmlns:a16="http://schemas.microsoft.com/office/drawing/2014/main" id="{6B2BA281-FD95-1542-99BD-C581E9C361B2}"/>
            </a:ext>
          </a:extLst>
        </xdr:cNvPr>
        <xdr:cNvSpPr/>
      </xdr:nvSpPr>
      <xdr:spPr>
        <a:xfrm>
          <a:off x="38100" y="46710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☁ Sync</a:t>
          </a:r>
        </a:p>
      </xdr:txBody>
    </xdr:sp>
    <xdr:clientData/>
  </xdr:twoCellAnchor>
  <xdr:twoCellAnchor editAs="oneCell">
    <xdr:from>
      <xdr:col>0</xdr:col>
      <xdr:colOff>38100</xdr:colOff>
      <xdr:row>18</xdr:row>
      <xdr:rowOff>30480</xdr:rowOff>
    </xdr:from>
    <xdr:to>
      <xdr:col>0</xdr:col>
      <xdr:colOff>1607820</xdr:colOff>
      <xdr:row>19</xdr:row>
      <xdr:rowOff>106680</xdr:rowOff>
    </xdr:to>
    <xdr:sp macro="IrAcesso" textlink="">
      <xdr:nvSpPr>
        <xdr:cNvPr id="11" name="mnuAcesso">
          <a:extLst>
            <a:ext uri="{FF2B5EF4-FFF2-40B4-BE49-F238E27FC236}">
              <a16:creationId xmlns:a16="http://schemas.microsoft.com/office/drawing/2014/main" id="{A927C2E6-DBD6-1A22-34B9-038B9B645A2F}"/>
            </a:ext>
          </a:extLst>
        </xdr:cNvPr>
        <xdr:cNvSpPr/>
      </xdr:nvSpPr>
      <xdr:spPr>
        <a:xfrm>
          <a:off x="38100" y="51282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Acesso</a:t>
          </a:r>
        </a:p>
      </xdr:txBody>
    </xdr:sp>
    <xdr:clientData/>
  </xdr:twoCellAnchor>
  <xdr:twoCellAnchor editAs="oneCell">
    <xdr:from>
      <xdr:col>0</xdr:col>
      <xdr:colOff>38100</xdr:colOff>
      <xdr:row>19</xdr:row>
      <xdr:rowOff>182880</xdr:rowOff>
    </xdr:from>
    <xdr:to>
      <xdr:col>0</xdr:col>
      <xdr:colOff>1607820</xdr:colOff>
      <xdr:row>20</xdr:row>
      <xdr:rowOff>259080</xdr:rowOff>
    </xdr:to>
    <xdr:sp macro="IrPDV" textlink="">
      <xdr:nvSpPr>
        <xdr:cNvPr id="12" name="mnuPDV">
          <a:extLst>
            <a:ext uri="{FF2B5EF4-FFF2-40B4-BE49-F238E27FC236}">
              <a16:creationId xmlns:a16="http://schemas.microsoft.com/office/drawing/2014/main" id="{B67B5EED-44E1-52E5-D34F-0BE85F54BF29}"/>
            </a:ext>
          </a:extLst>
        </xdr:cNvPr>
        <xdr:cNvSpPr/>
      </xdr:nvSpPr>
      <xdr:spPr>
        <a:xfrm>
          <a:off x="38100" y="55854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🛒 PDV</a:t>
          </a:r>
        </a:p>
      </xdr:txBody>
    </xdr:sp>
    <xdr:clientData/>
  </xdr:twoCellAnchor>
  <xdr:twoCellAnchor editAs="oneCell">
    <xdr:from>
      <xdr:col>0</xdr:col>
      <xdr:colOff>38100</xdr:colOff>
      <xdr:row>21</xdr:row>
      <xdr:rowOff>30480</xdr:rowOff>
    </xdr:from>
    <xdr:to>
      <xdr:col>0</xdr:col>
      <xdr:colOff>1607820</xdr:colOff>
      <xdr:row>21</xdr:row>
      <xdr:rowOff>411480</xdr:rowOff>
    </xdr:to>
    <xdr:sp macro="IrCRM" textlink="">
      <xdr:nvSpPr>
        <xdr:cNvPr id="13" name="mnuCRM">
          <a:extLst>
            <a:ext uri="{FF2B5EF4-FFF2-40B4-BE49-F238E27FC236}">
              <a16:creationId xmlns:a16="http://schemas.microsoft.com/office/drawing/2014/main" id="{9B033940-F5E3-DF42-31D0-71F7CEAA9F08}"/>
            </a:ext>
          </a:extLst>
        </xdr:cNvPr>
        <xdr:cNvSpPr/>
      </xdr:nvSpPr>
      <xdr:spPr>
        <a:xfrm>
          <a:off x="38100" y="60426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👥 CRM</a:t>
          </a:r>
        </a:p>
      </xdr:txBody>
    </xdr:sp>
    <xdr:clientData/>
  </xdr:twoCellAnchor>
  <xdr:twoCellAnchor editAs="oneCell">
    <xdr:from>
      <xdr:col>0</xdr:col>
      <xdr:colOff>38100</xdr:colOff>
      <xdr:row>22</xdr:row>
      <xdr:rowOff>60960</xdr:rowOff>
    </xdr:from>
    <xdr:to>
      <xdr:col>0</xdr:col>
      <xdr:colOff>1607820</xdr:colOff>
      <xdr:row>23</xdr:row>
      <xdr:rowOff>15240</xdr:rowOff>
    </xdr:to>
    <xdr:sp macro="IrFormAluno" textlink="">
      <xdr:nvSpPr>
        <xdr:cNvPr id="14" name="mnuAlunos">
          <a:extLst>
            <a:ext uri="{FF2B5EF4-FFF2-40B4-BE49-F238E27FC236}">
              <a16:creationId xmlns:a16="http://schemas.microsoft.com/office/drawing/2014/main" id="{6A3D1122-B885-1ED2-3168-64058550EFB3}"/>
            </a:ext>
          </a:extLst>
        </xdr:cNvPr>
        <xdr:cNvSpPr/>
      </xdr:nvSpPr>
      <xdr:spPr>
        <a:xfrm>
          <a:off x="38100" y="64998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👤 Alunos</a:t>
          </a:r>
        </a:p>
      </xdr:txBody>
    </xdr:sp>
    <xdr:clientData/>
  </xdr:twoCellAnchor>
  <xdr:twoCellAnchor editAs="oneCell">
    <xdr:from>
      <xdr:col>0</xdr:col>
      <xdr:colOff>38100</xdr:colOff>
      <xdr:row>23</xdr:row>
      <xdr:rowOff>91440</xdr:rowOff>
    </xdr:from>
    <xdr:to>
      <xdr:col>0</xdr:col>
      <xdr:colOff>1607820</xdr:colOff>
      <xdr:row>25</xdr:row>
      <xdr:rowOff>106680</xdr:rowOff>
    </xdr:to>
    <xdr:sp macro="IrAvaliacao" textlink="">
      <xdr:nvSpPr>
        <xdr:cNvPr id="15" name="mnuAvaliacao">
          <a:extLst>
            <a:ext uri="{FF2B5EF4-FFF2-40B4-BE49-F238E27FC236}">
              <a16:creationId xmlns:a16="http://schemas.microsoft.com/office/drawing/2014/main" id="{05A61EE0-9AB5-C3C4-304E-638AA6E8090C}"/>
            </a:ext>
          </a:extLst>
        </xdr:cNvPr>
        <xdr:cNvSpPr/>
      </xdr:nvSpPr>
      <xdr:spPr>
        <a:xfrm>
          <a:off x="38100" y="69570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📏 Avaliação</a:t>
          </a:r>
        </a:p>
      </xdr:txBody>
    </xdr:sp>
    <xdr:clientData/>
  </xdr:twoCellAnchor>
  <xdr:twoCellAnchor editAs="oneCell">
    <xdr:from>
      <xdr:col>0</xdr:col>
      <xdr:colOff>38100</xdr:colOff>
      <xdr:row>26</xdr:row>
      <xdr:rowOff>0</xdr:rowOff>
    </xdr:from>
    <xdr:to>
      <xdr:col>0</xdr:col>
      <xdr:colOff>1607820</xdr:colOff>
      <xdr:row>28</xdr:row>
      <xdr:rowOff>15240</xdr:rowOff>
    </xdr:to>
    <xdr:sp macro="IrTreinos" textlink="">
      <xdr:nvSpPr>
        <xdr:cNvPr id="16" name="mnuTreinos">
          <a:extLst>
            <a:ext uri="{FF2B5EF4-FFF2-40B4-BE49-F238E27FC236}">
              <a16:creationId xmlns:a16="http://schemas.microsoft.com/office/drawing/2014/main" id="{3C6EE9CA-3F8C-1F50-B895-5E8C4B7C1E12}"/>
            </a:ext>
          </a:extLst>
        </xdr:cNvPr>
        <xdr:cNvSpPr/>
      </xdr:nvSpPr>
      <xdr:spPr>
        <a:xfrm>
          <a:off x="38100" y="74142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🏋 Treinos</a:t>
          </a:r>
        </a:p>
      </xdr:txBody>
    </xdr:sp>
    <xdr:clientData/>
  </xdr:twoCellAnchor>
  <xdr:twoCellAnchor editAs="oneCell">
    <xdr:from>
      <xdr:col>0</xdr:col>
      <xdr:colOff>38100</xdr:colOff>
      <xdr:row>28</xdr:row>
      <xdr:rowOff>91440</xdr:rowOff>
    </xdr:from>
    <xdr:to>
      <xdr:col>0</xdr:col>
      <xdr:colOff>1607820</xdr:colOff>
      <xdr:row>30</xdr:row>
      <xdr:rowOff>106680</xdr:rowOff>
    </xdr:to>
    <xdr:sp macro="IrMensalidades" textlink="">
      <xdr:nvSpPr>
        <xdr:cNvPr id="17" name="mnuMensalidades">
          <a:extLst>
            <a:ext uri="{FF2B5EF4-FFF2-40B4-BE49-F238E27FC236}">
              <a16:creationId xmlns:a16="http://schemas.microsoft.com/office/drawing/2014/main" id="{5248C5D0-9105-5AA5-5156-7781A61CFF4C}"/>
            </a:ext>
          </a:extLst>
        </xdr:cNvPr>
        <xdr:cNvSpPr/>
      </xdr:nvSpPr>
      <xdr:spPr>
        <a:xfrm>
          <a:off x="38100" y="78714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💳 Mensalidades</a:t>
          </a:r>
        </a:p>
      </xdr:txBody>
    </xdr:sp>
    <xdr:clientData/>
  </xdr:twoCellAnchor>
  <xdr:twoCellAnchor editAs="oneCell">
    <xdr:from>
      <xdr:col>0</xdr:col>
      <xdr:colOff>38100</xdr:colOff>
      <xdr:row>31</xdr:row>
      <xdr:rowOff>0</xdr:rowOff>
    </xdr:from>
    <xdr:to>
      <xdr:col>0</xdr:col>
      <xdr:colOff>1607820</xdr:colOff>
      <xdr:row>33</xdr:row>
      <xdr:rowOff>15240</xdr:rowOff>
    </xdr:to>
    <xdr:sp macro="IrFinanceiro" textlink="">
      <xdr:nvSpPr>
        <xdr:cNvPr id="18" name="mnuFinanceiro">
          <a:extLst>
            <a:ext uri="{FF2B5EF4-FFF2-40B4-BE49-F238E27FC236}">
              <a16:creationId xmlns:a16="http://schemas.microsoft.com/office/drawing/2014/main" id="{C5ED85C0-D2E0-4FFF-05C4-4F587D8F85C6}"/>
            </a:ext>
          </a:extLst>
        </xdr:cNvPr>
        <xdr:cNvSpPr/>
      </xdr:nvSpPr>
      <xdr:spPr>
        <a:xfrm>
          <a:off x="38100" y="83286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💰 Financeiro</a:t>
          </a:r>
        </a:p>
      </xdr:txBody>
    </xdr:sp>
    <xdr:clientData/>
  </xdr:twoCellAnchor>
  <xdr:twoCellAnchor editAs="oneCell">
    <xdr:from>
      <xdr:col>0</xdr:col>
      <xdr:colOff>38100</xdr:colOff>
      <xdr:row>33</xdr:row>
      <xdr:rowOff>91440</xdr:rowOff>
    </xdr:from>
    <xdr:to>
      <xdr:col>0</xdr:col>
      <xdr:colOff>1607820</xdr:colOff>
      <xdr:row>35</xdr:row>
      <xdr:rowOff>106680</xdr:rowOff>
    </xdr:to>
    <xdr:sp macro="IrEstoque" textlink="">
      <xdr:nvSpPr>
        <xdr:cNvPr id="19" name="mnuEstoque">
          <a:extLst>
            <a:ext uri="{FF2B5EF4-FFF2-40B4-BE49-F238E27FC236}">
              <a16:creationId xmlns:a16="http://schemas.microsoft.com/office/drawing/2014/main" id="{1842AE2C-91F4-31FF-691D-BF0F7EDD2C72}"/>
            </a:ext>
          </a:extLst>
        </xdr:cNvPr>
        <xdr:cNvSpPr/>
      </xdr:nvSpPr>
      <xdr:spPr>
        <a:xfrm>
          <a:off x="38100" y="87858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📦 Estoque</a:t>
          </a:r>
        </a:p>
      </xdr:txBody>
    </xdr:sp>
    <xdr:clientData/>
  </xdr:twoCellAnchor>
  <xdr:twoCellAnchor editAs="oneCell">
    <xdr:from>
      <xdr:col>0</xdr:col>
      <xdr:colOff>38100</xdr:colOff>
      <xdr:row>36</xdr:row>
      <xdr:rowOff>0</xdr:rowOff>
    </xdr:from>
    <xdr:to>
      <xdr:col>0</xdr:col>
      <xdr:colOff>1607820</xdr:colOff>
      <xdr:row>38</xdr:row>
      <xdr:rowOff>15240</xdr:rowOff>
    </xdr:to>
    <xdr:sp macro="IrRelatorios" textlink="">
      <xdr:nvSpPr>
        <xdr:cNvPr id="20" name="mnuRelatorios">
          <a:extLst>
            <a:ext uri="{FF2B5EF4-FFF2-40B4-BE49-F238E27FC236}">
              <a16:creationId xmlns:a16="http://schemas.microsoft.com/office/drawing/2014/main" id="{B617A927-516F-DD21-03D0-285A6CE40BFB}"/>
            </a:ext>
          </a:extLst>
        </xdr:cNvPr>
        <xdr:cNvSpPr/>
      </xdr:nvSpPr>
      <xdr:spPr>
        <a:xfrm>
          <a:off x="38100" y="9243060"/>
          <a:ext cx="156972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000000"/>
              </a:solidFill>
              <a:latin typeface="Calibri" panose="020F0502020204030204" pitchFamily="34" charset="0"/>
            </a:rPr>
            <a:t>📊 Relatórios</a:t>
          </a:r>
        </a:p>
      </xdr:txBody>
    </xdr:sp>
    <xdr:clientData/>
  </xdr:twoCellAnchor>
  <xdr:twoCellAnchor editAs="oneCell">
    <xdr:from>
      <xdr:col>0</xdr:col>
      <xdr:colOff>38100</xdr:colOff>
      <xdr:row>38</xdr:row>
      <xdr:rowOff>91440</xdr:rowOff>
    </xdr:from>
    <xdr:to>
      <xdr:col>0</xdr:col>
      <xdr:colOff>1607820</xdr:colOff>
      <xdr:row>40</xdr:row>
      <xdr:rowOff>106680</xdr:rowOff>
    </xdr:to>
    <xdr:sp macro="IrConfig" textlink="">
      <xdr:nvSpPr>
        <xdr:cNvPr id="21" name="mnuConfig">
          <a:extLst>
            <a:ext uri="{FF2B5EF4-FFF2-40B4-BE49-F238E27FC236}">
              <a16:creationId xmlns:a16="http://schemas.microsoft.com/office/drawing/2014/main" id="{D4AF69DD-FCD0-D31D-18EA-4924B7C478A5}"/>
            </a:ext>
          </a:extLst>
        </xdr:cNvPr>
        <xdr:cNvSpPr/>
      </xdr:nvSpPr>
      <xdr:spPr>
        <a:xfrm>
          <a:off x="38100" y="9700260"/>
          <a:ext cx="1569720" cy="381000"/>
        </a:xfrm>
        <a:prstGeom prst="roundRect">
          <a:avLst/>
        </a:prstGeom>
        <a:solidFill>
          <a:srgbClr val="4A000F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⚙ Config</a:t>
          </a:r>
        </a:p>
      </xdr:txBody>
    </xdr:sp>
    <xdr:clientData/>
  </xdr:twoCellAnchor>
  <xdr:twoCellAnchor editAs="oneCell">
    <xdr:from>
      <xdr:col>0</xdr:col>
      <xdr:colOff>38100</xdr:colOff>
      <xdr:row>41</xdr:row>
      <xdr:rowOff>127000</xdr:rowOff>
    </xdr:from>
    <xdr:to>
      <xdr:col>0</xdr:col>
      <xdr:colOff>1607820</xdr:colOff>
      <xdr:row>43</xdr:row>
      <xdr:rowOff>142240</xdr:rowOff>
    </xdr:to>
    <xdr:sp macro="SairSistema" textlink="">
      <xdr:nvSpPr>
        <xdr:cNvPr id="22" name="mnuSair">
          <a:extLst>
            <a:ext uri="{FF2B5EF4-FFF2-40B4-BE49-F238E27FC236}">
              <a16:creationId xmlns:a16="http://schemas.microsoft.com/office/drawing/2014/main" id="{F17C83F5-244F-71FF-DF25-F2B1D39EEF1E}"/>
            </a:ext>
          </a:extLst>
        </xdr:cNvPr>
        <xdr:cNvSpPr/>
      </xdr:nvSpPr>
      <xdr:spPr>
        <a:xfrm>
          <a:off x="38100" y="10284460"/>
          <a:ext cx="1569720" cy="381000"/>
        </a:xfrm>
        <a:prstGeom prst="roundRect">
          <a:avLst/>
        </a:prstGeom>
        <a:solidFill>
          <a:srgbClr val="A3001E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100" b="1">
              <a:solidFill>
                <a:srgbClr val="FFFFFF"/>
              </a:solidFill>
              <a:latin typeface="Calibri" panose="020F0502020204030204" pitchFamily="34" charset="0"/>
            </a:rPr>
            <a:t>🚪 Sair</a:t>
          </a:r>
        </a:p>
      </xdr:txBody>
    </xdr:sp>
    <xdr:clientData/>
  </xdr:twoCellAnchor>
  <xdr:twoCellAnchor editAs="oneCell">
    <xdr:from>
      <xdr:col>2</xdr:col>
      <xdr:colOff>25400</xdr:colOff>
      <xdr:row>6</xdr:row>
      <xdr:rowOff>0</xdr:rowOff>
    </xdr:from>
    <xdr:to>
      <xdr:col>2</xdr:col>
      <xdr:colOff>2443480</xdr:colOff>
      <xdr:row>7</xdr:row>
      <xdr:rowOff>76200</xdr:rowOff>
    </xdr:to>
    <xdr:sp macro="PdfFinanceir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F774F752-A942-3701-D2B9-3F397C47ADAA}"/>
            </a:ext>
          </a:extLst>
        </xdr:cNvPr>
        <xdr:cNvSpPr/>
      </xdr:nvSpPr>
      <xdr:spPr>
        <a:xfrm>
          <a:off x="1877060" y="1440180"/>
          <a:ext cx="24180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💰 PDF Financeiro</a:t>
          </a:r>
        </a:p>
      </xdr:txBody>
    </xdr:sp>
    <xdr:clientData/>
  </xdr:twoCellAnchor>
  <xdr:twoCellAnchor editAs="oneCell">
    <xdr:from>
      <xdr:col>2</xdr:col>
      <xdr:colOff>25400</xdr:colOff>
      <xdr:row>7</xdr:row>
      <xdr:rowOff>152400</xdr:rowOff>
    </xdr:from>
    <xdr:to>
      <xdr:col>2</xdr:col>
      <xdr:colOff>2443480</xdr:colOff>
      <xdr:row>8</xdr:row>
      <xdr:rowOff>228600</xdr:rowOff>
    </xdr:to>
    <xdr:sp macro="PdfFlux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181480D2-D1B9-25D7-6C04-D978C853C61F}"/>
            </a:ext>
          </a:extLst>
        </xdr:cNvPr>
        <xdr:cNvSpPr/>
      </xdr:nvSpPr>
      <xdr:spPr>
        <a:xfrm>
          <a:off x="1877060" y="1897380"/>
          <a:ext cx="24180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💰 PDF Fluxo</a:t>
          </a:r>
        </a:p>
      </xdr:txBody>
    </xdr:sp>
    <xdr:clientData/>
  </xdr:twoCellAnchor>
  <xdr:twoCellAnchor editAs="oneCell">
    <xdr:from>
      <xdr:col>2</xdr:col>
      <xdr:colOff>25400</xdr:colOff>
      <xdr:row>9</xdr:row>
      <xdr:rowOff>0</xdr:rowOff>
    </xdr:from>
    <xdr:to>
      <xdr:col>2</xdr:col>
      <xdr:colOff>2443480</xdr:colOff>
      <xdr:row>10</xdr:row>
      <xdr:rowOff>76200</xdr:rowOff>
    </xdr:to>
    <xdr:sp macro="PdfInadimplentes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208EFD82-7236-82B5-BEAB-0D7F3EA2A379}"/>
            </a:ext>
          </a:extLst>
        </xdr:cNvPr>
        <xdr:cNvSpPr/>
      </xdr:nvSpPr>
      <xdr:spPr>
        <a:xfrm>
          <a:off x="1877060" y="2354580"/>
          <a:ext cx="24180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💳 PDF Inadimplentes</a:t>
          </a:r>
        </a:p>
      </xdr:txBody>
    </xdr:sp>
    <xdr:clientData/>
  </xdr:twoCellAnchor>
  <xdr:twoCellAnchor editAs="oneCell">
    <xdr:from>
      <xdr:col>2</xdr:col>
      <xdr:colOff>25400</xdr:colOff>
      <xdr:row>10</xdr:row>
      <xdr:rowOff>152400</xdr:rowOff>
    </xdr:from>
    <xdr:to>
      <xdr:col>2</xdr:col>
      <xdr:colOff>2443480</xdr:colOff>
      <xdr:row>11</xdr:row>
      <xdr:rowOff>228600</xdr:rowOff>
    </xdr:to>
    <xdr:sp macro="PdfAlunosAtivos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A79D09D3-7A1F-4D79-992E-3F228E5235AB}"/>
            </a:ext>
          </a:extLst>
        </xdr:cNvPr>
        <xdr:cNvSpPr/>
      </xdr:nvSpPr>
      <xdr:spPr>
        <a:xfrm>
          <a:off x="1877060" y="2811780"/>
          <a:ext cx="24180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👤 PDF Alunos</a:t>
          </a:r>
        </a:p>
      </xdr:txBody>
    </xdr:sp>
    <xdr:clientData/>
  </xdr:twoCellAnchor>
  <xdr:twoCellAnchor editAs="oneCell">
    <xdr:from>
      <xdr:col>2</xdr:col>
      <xdr:colOff>25400</xdr:colOff>
      <xdr:row>12</xdr:row>
      <xdr:rowOff>0</xdr:rowOff>
    </xdr:from>
    <xdr:to>
      <xdr:col>2</xdr:col>
      <xdr:colOff>2443480</xdr:colOff>
      <xdr:row>13</xdr:row>
      <xdr:rowOff>76200</xdr:rowOff>
    </xdr:to>
    <xdr:sp macro="PdfEstoque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B8FC2E4-10AE-3004-10B2-AE91461BA00A}"/>
            </a:ext>
          </a:extLst>
        </xdr:cNvPr>
        <xdr:cNvSpPr/>
      </xdr:nvSpPr>
      <xdr:spPr>
        <a:xfrm>
          <a:off x="1877060" y="3268980"/>
          <a:ext cx="24180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📦 PDF Estoque</a:t>
          </a:r>
        </a:p>
      </xdr:txBody>
    </xdr:sp>
    <xdr:clientData/>
  </xdr:twoCellAnchor>
  <xdr:twoCellAnchor editAs="oneCell">
    <xdr:from>
      <xdr:col>2</xdr:col>
      <xdr:colOff>25400</xdr:colOff>
      <xdr:row>13</xdr:row>
      <xdr:rowOff>152400</xdr:rowOff>
    </xdr:from>
    <xdr:to>
      <xdr:col>2</xdr:col>
      <xdr:colOff>2443480</xdr:colOff>
      <xdr:row>14</xdr:row>
      <xdr:rowOff>228600</xdr:rowOff>
    </xdr:to>
    <xdr:sp macro="PdfProfessores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7DF4B48A-0EE3-332E-7AFB-041BB7C1B5BC}"/>
            </a:ext>
          </a:extLst>
        </xdr:cNvPr>
        <xdr:cNvSpPr/>
      </xdr:nvSpPr>
      <xdr:spPr>
        <a:xfrm>
          <a:off x="1877060" y="3726180"/>
          <a:ext cx="24180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🏋 PDF Professores</a:t>
          </a:r>
        </a:p>
      </xdr:txBody>
    </xdr:sp>
    <xdr:clientData/>
  </xdr:twoCellAnchor>
  <xdr:twoCellAnchor editAs="oneCell">
    <xdr:from>
      <xdr:col>2</xdr:col>
      <xdr:colOff>25400</xdr:colOff>
      <xdr:row>15</xdr:row>
      <xdr:rowOff>0</xdr:rowOff>
    </xdr:from>
    <xdr:to>
      <xdr:col>2</xdr:col>
      <xdr:colOff>2443480</xdr:colOff>
      <xdr:row>16</xdr:row>
      <xdr:rowOff>76200</xdr:rowOff>
    </xdr:to>
    <xdr:sp macro="PdfEquipamentos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629BF043-5C1B-1660-966E-354E5793B628}"/>
            </a:ext>
          </a:extLst>
        </xdr:cNvPr>
        <xdr:cNvSpPr/>
      </xdr:nvSpPr>
      <xdr:spPr>
        <a:xfrm>
          <a:off x="1877060" y="4183380"/>
          <a:ext cx="24180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📊 PDF Equipamentos</a:t>
          </a:r>
        </a:p>
      </xdr:txBody>
    </xdr:sp>
    <xdr:clientData/>
  </xdr:twoCellAnchor>
  <xdr:twoCellAnchor editAs="oneCell">
    <xdr:from>
      <xdr:col>2</xdr:col>
      <xdr:colOff>25400</xdr:colOff>
      <xdr:row>16</xdr:row>
      <xdr:rowOff>152400</xdr:rowOff>
    </xdr:from>
    <xdr:to>
      <xdr:col>2</xdr:col>
      <xdr:colOff>2443480</xdr:colOff>
      <xdr:row>17</xdr:row>
      <xdr:rowOff>228600</xdr:rowOff>
    </xdr:to>
    <xdr:sp macro="PdfAvaliacao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4AF305BD-68B9-61AB-58F2-ED83DA3096AC}"/>
            </a:ext>
          </a:extLst>
        </xdr:cNvPr>
        <xdr:cNvSpPr/>
      </xdr:nvSpPr>
      <xdr:spPr>
        <a:xfrm>
          <a:off x="1877060" y="4640580"/>
          <a:ext cx="24180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📏 PDF Avaliação</a:t>
          </a:r>
        </a:p>
      </xdr:txBody>
    </xdr:sp>
    <xdr:clientData/>
  </xdr:twoCellAnchor>
  <xdr:twoCellAnchor editAs="oneCell">
    <xdr:from>
      <xdr:col>2</xdr:col>
      <xdr:colOff>25400</xdr:colOff>
      <xdr:row>18</xdr:row>
      <xdr:rowOff>0</xdr:rowOff>
    </xdr:from>
    <xdr:to>
      <xdr:col>2</xdr:col>
      <xdr:colOff>2443480</xdr:colOff>
      <xdr:row>19</xdr:row>
      <xdr:rowOff>76200</xdr:rowOff>
    </xdr:to>
    <xdr:sp macro="PdfTreino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47C68AF4-804A-9AC4-E9EC-87FEE8BE0B2D}"/>
            </a:ext>
          </a:extLst>
        </xdr:cNvPr>
        <xdr:cNvSpPr/>
      </xdr:nvSpPr>
      <xdr:spPr>
        <a:xfrm>
          <a:off x="1877060" y="5097780"/>
          <a:ext cx="2418080" cy="3810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1000" b="1">
              <a:solidFill>
                <a:srgbClr val="000000"/>
              </a:solidFill>
              <a:latin typeface="Calibri" panose="020F0502020204030204" pitchFamily="34" charset="0"/>
            </a:rPr>
            <a:t>🏋 PDF Treino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25400</xdr:rowOff>
    </xdr:from>
    <xdr:to>
      <xdr:col>8</xdr:col>
      <xdr:colOff>1209040</xdr:colOff>
      <xdr:row>0</xdr:row>
      <xdr:rowOff>304800</xdr:rowOff>
    </xdr:to>
    <xdr:sp macro="IrHome" textlink="">
      <xdr:nvSpPr>
        <xdr:cNvPr id="2" name="mnuDataHome">
          <a:extLst>
            <a:ext uri="{FF2B5EF4-FFF2-40B4-BE49-F238E27FC236}">
              <a16:creationId xmlns:a16="http://schemas.microsoft.com/office/drawing/2014/main" id="{58D3CF98-437E-4642-BE54-F47F438EC807}"/>
            </a:ext>
          </a:extLst>
        </xdr:cNvPr>
        <xdr:cNvSpPr/>
      </xdr:nvSpPr>
      <xdr:spPr>
        <a:xfrm>
          <a:off x="9352280" y="25400"/>
          <a:ext cx="1183640" cy="279400"/>
        </a:xfrm>
        <a:prstGeom prst="roundRect">
          <a:avLst/>
        </a:prstGeom>
        <a:solidFill>
          <a:srgbClr val="D4AF37"/>
        </a:solidFill>
        <a:ln w="15875">
          <a:solidFill>
            <a:srgbClr val="D4AF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b"/>
        <a:lstStyle/>
        <a:p>
          <a:pPr algn="ctr"/>
          <a:r>
            <a:rPr lang="pt-BR" sz="900" b="1">
              <a:solidFill>
                <a:srgbClr val="000000"/>
              </a:solidFill>
              <a:latin typeface="Calibri" panose="020F0502020204030204" pitchFamily="34" charset="0"/>
            </a:rPr>
            <a:t>🏠 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lunos" displayName="tblAlunos" ref="A5:U62">
  <autoFilter ref="A5:U62" xr:uid="{00000000-0009-0000-0100-000001000000}"/>
  <tableColumns count="21">
    <tableColumn id="1" xr3:uid="{00000000-0010-0000-0000-000001000000}" name="ID"/>
    <tableColumn id="2" xr3:uid="{00000000-0010-0000-0000-000002000000}" name="EmpresaID"/>
    <tableColumn id="3" xr3:uid="{00000000-0010-0000-0000-000003000000}" name="UnidadeID"/>
    <tableColumn id="4" xr3:uid="{00000000-0010-0000-0000-000004000000}" name="Matrícula"/>
    <tableColumn id="5" xr3:uid="{00000000-0010-0000-0000-000005000000}" name="Nome"/>
    <tableColumn id="6" xr3:uid="{00000000-0010-0000-0000-000006000000}" name="CPF"/>
    <tableColumn id="7" xr3:uid="{00000000-0010-0000-0000-000007000000}" name="RG"/>
    <tableColumn id="8" xr3:uid="{00000000-0010-0000-0000-000008000000}" name="DataNascimento"/>
    <tableColumn id="9" xr3:uid="{00000000-0010-0000-0000-000009000000}" name="Sexo"/>
    <tableColumn id="10" xr3:uid="{00000000-0010-0000-0000-00000A000000}" name="Telefone"/>
    <tableColumn id="11" xr3:uid="{00000000-0010-0000-0000-00000B000000}" name="WhatsApp"/>
    <tableColumn id="12" xr3:uid="{00000000-0010-0000-0000-00000C000000}" name="Email"/>
    <tableColumn id="13" xr3:uid="{00000000-0010-0000-0000-00000D000000}" name="CEP"/>
    <tableColumn id="14" xr3:uid="{00000000-0010-0000-0000-00000E000000}" name="Endereço"/>
    <tableColumn id="15" xr3:uid="{00000000-0010-0000-0000-00000F000000}" name="Número"/>
    <tableColumn id="16" xr3:uid="{00000000-0010-0000-0000-000010000000}" name="Bairro"/>
    <tableColumn id="17" xr3:uid="{00000000-0010-0000-0000-000011000000}" name="Cidade"/>
    <tableColumn id="18" xr3:uid="{00000000-0010-0000-0000-000012000000}" name="Plano"/>
    <tableColumn id="19" xr3:uid="{00000000-0010-0000-0000-000013000000}" name="Professor"/>
    <tableColumn id="20" xr3:uid="{00000000-0010-0000-0000-000014000000}" name="ValorPlano"/>
    <tableColumn id="21" xr3:uid="{00000000-0010-0000-0000-000015000000}" name="FormaPagam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ensalidades" displayName="tblMensalidades" ref="A5:J76">
  <autoFilter ref="A5:J76" xr:uid="{00000000-0009-0000-0100-000002000000}"/>
  <tableColumns count="10">
    <tableColumn id="1" xr3:uid="{00000000-0010-0000-0100-000001000000}" name="Aluno"/>
    <tableColumn id="2" xr3:uid="{00000000-0010-0000-0100-000002000000}" name="Código"/>
    <tableColumn id="3" xr3:uid="{00000000-0010-0000-0100-000003000000}" name="Competência"/>
    <tableColumn id="4" xr3:uid="{00000000-0010-0000-0100-000004000000}" name="Valor"/>
    <tableColumn id="5" xr3:uid="{00000000-0010-0000-0100-000005000000}" name="Vencimento"/>
    <tableColumn id="6" xr3:uid="{00000000-0010-0000-0100-000006000000}" name="Pagamento"/>
    <tableColumn id="7" xr3:uid="{00000000-0010-0000-0100-000007000000}" name="Status"/>
    <tableColumn id="8" xr3:uid="{00000000-0010-0000-0100-000008000000}" name="Forma Pagamento"/>
    <tableColumn id="9" xr3:uid="{00000000-0010-0000-0100-000009000000}" name="Dias Atraso"/>
    <tableColumn id="10" xr3:uid="{00000000-0010-0000-0100-00000A000000}" name="Situação Visu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Financeiro" displayName="tblFinanceiro" ref="A7:J76">
  <autoFilter ref="A7:J76" xr:uid="{00000000-0009-0000-0100-000003000000}"/>
  <tableColumns count="10">
    <tableColumn id="1" xr3:uid="{00000000-0010-0000-0200-000001000000}" name="ID"/>
    <tableColumn id="2" xr3:uid="{00000000-0010-0000-0200-000002000000}" name="Aluno"/>
    <tableColumn id="3" xr3:uid="{00000000-0010-0000-0200-000003000000}" name="Competência"/>
    <tableColumn id="4" xr3:uid="{00000000-0010-0000-0200-000004000000}" name="Valor Final"/>
    <tableColumn id="5" xr3:uid="{00000000-0010-0000-0200-000005000000}" name="Situação"/>
    <tableColumn id="6" xr3:uid="{00000000-0010-0000-0200-000006000000}" name="Vencimento"/>
    <tableColumn id="7" xr3:uid="{00000000-0010-0000-0200-000007000000}" name="Pagamento"/>
    <tableColumn id="8" xr3:uid="{00000000-0010-0000-0200-000008000000}" name="Matrícula"/>
    <tableColumn id="9" xr3:uid="{00000000-0010-0000-0200-000009000000}" name="Forma"/>
    <tableColumn id="10" xr3:uid="{00000000-0010-0000-0200-00000A000000}" name="Valor Origin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Fluxo" displayName="tblFluxo" ref="A6:H36">
  <autoFilter ref="A6:H36" xr:uid="{00000000-0009-0000-0100-000004000000}"/>
  <tableColumns count="8">
    <tableColumn id="1" xr3:uid="{00000000-0010-0000-0300-000001000000}" name="Data"/>
    <tableColumn id="2" xr3:uid="{00000000-0010-0000-0300-000002000000}" name="Entradas"/>
    <tableColumn id="3" xr3:uid="{00000000-0010-0000-0300-000003000000}" name="Saídas"/>
    <tableColumn id="4" xr3:uid="{00000000-0010-0000-0300-000004000000}" name="Saldo do Dia"/>
    <tableColumn id="5" xr3:uid="{00000000-0010-0000-0300-000005000000}" name="Saldo Acumulado"/>
    <tableColumn id="6" xr3:uid="{00000000-0010-0000-0300-000006000000}" name="Mês"/>
    <tableColumn id="7" xr3:uid="{00000000-0010-0000-0300-000007000000}" name="Ano"/>
    <tableColumn id="8" xr3:uid="{00000000-0010-0000-0300-000008000000}" name="Observaçã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ContasReceber" displayName="tblContasReceber" ref="A5:J54">
  <autoFilter ref="A5:J54" xr:uid="{00000000-0009-0000-0100-000005000000}"/>
  <tableColumns count="10">
    <tableColumn id="1" xr3:uid="{00000000-0010-0000-0400-000001000000}" name="ID"/>
    <tableColumn id="2" xr3:uid="{00000000-0010-0000-0400-000002000000}" name="Aluno"/>
    <tableColumn id="3" xr3:uid="{00000000-0010-0000-0400-000003000000}" name="Matrícula"/>
    <tableColumn id="4" xr3:uid="{00000000-0010-0000-0400-000004000000}" name="Competência"/>
    <tableColumn id="5" xr3:uid="{00000000-0010-0000-0400-000005000000}" name="Valor Final"/>
    <tableColumn id="6" xr3:uid="{00000000-0010-0000-0400-000006000000}" name="Vencimento"/>
    <tableColumn id="7" xr3:uid="{00000000-0010-0000-0400-000007000000}" name="Dias em Atraso"/>
    <tableColumn id="8" xr3:uid="{00000000-0010-0000-0400-000008000000}" name="Situação"/>
    <tableColumn id="9" xr3:uid="{00000000-0010-0000-0400-000009000000}" name="Forma"/>
    <tableColumn id="10" xr3:uid="{00000000-0010-0000-0400-00000A000000}" name="Pagament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ContasPagar" displayName="tblContasPagar" ref="A5:G50">
  <autoFilter ref="A5:G50" xr:uid="{00000000-0009-0000-0100-000006000000}"/>
  <tableColumns count="7">
    <tableColumn id="1" xr3:uid="{00000000-0010-0000-0500-000001000000}" name="Fornecedor"/>
    <tableColumn id="2" xr3:uid="{00000000-0010-0000-0500-000002000000}" name="Descrição"/>
    <tableColumn id="3" xr3:uid="{00000000-0010-0000-0500-000003000000}" name="Valor"/>
    <tableColumn id="4" xr3:uid="{00000000-0010-0000-0500-000004000000}" name="Vencimento"/>
    <tableColumn id="5" xr3:uid="{00000000-0010-0000-0500-000005000000}" name="Categoria"/>
    <tableColumn id="6" xr3:uid="{00000000-0010-0000-0500-000006000000}" name="Situação"/>
    <tableColumn id="7" xr3:uid="{00000000-0010-0000-0500-000007000000}" name="Dias p/ Vence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Professores" displayName="tblProfessores" ref="A5:H50">
  <autoFilter ref="A5:H50" xr:uid="{00000000-0009-0000-0100-000007000000}"/>
  <tableColumns count="8">
    <tableColumn id="1" xr3:uid="{00000000-0010-0000-0600-000001000000}" name="ID"/>
    <tableColumn id="2" xr3:uid="{00000000-0010-0000-0600-000002000000}" name="Nome"/>
    <tableColumn id="3" xr3:uid="{00000000-0010-0000-0600-000003000000}" name="CREF"/>
    <tableColumn id="4" xr3:uid="{00000000-0010-0000-0600-000004000000}" name="Telefone"/>
    <tableColumn id="5" xr3:uid="{00000000-0010-0000-0600-000005000000}" name="Especialidade"/>
    <tableColumn id="6" xr3:uid="{00000000-0010-0000-0600-000006000000}" name="Salário"/>
    <tableColumn id="7" xr3:uid="{00000000-0010-0000-0600-000007000000}" name="Turmas"/>
    <tableColumn id="8" xr3:uid="{00000000-0010-0000-0600-000008000000}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Estoque" displayName="tblEstoque" ref="A5:L40">
  <autoFilter ref="A5:L40" xr:uid="{00000000-0009-0000-0100-000008000000}"/>
  <tableColumns count="12">
    <tableColumn id="1" xr3:uid="{00000000-0010-0000-0700-000001000000}" name="Código"/>
    <tableColumn id="2" xr3:uid="{00000000-0010-0000-0700-000002000000}" name="Produto"/>
    <tableColumn id="3" xr3:uid="{00000000-0010-0000-0700-000003000000}" name="Categoria"/>
    <tableColumn id="4" xr3:uid="{00000000-0010-0000-0700-000004000000}" name="Qtd Atual"/>
    <tableColumn id="5" xr3:uid="{00000000-0010-0000-0700-000005000000}" name="Estoque Mínimo"/>
    <tableColumn id="6" xr3:uid="{00000000-0010-0000-0700-000006000000}" name="Custo Unit."/>
    <tableColumn id="7" xr3:uid="{00000000-0010-0000-0700-000007000000}" name="Preço Venda"/>
    <tableColumn id="8" xr3:uid="{00000000-0010-0000-0700-000008000000}" name="Entradas"/>
    <tableColumn id="9" xr3:uid="{00000000-0010-0000-0700-000009000000}" name="Saídas"/>
    <tableColumn id="10" xr3:uid="{00000000-0010-0000-0700-00000A000000}" name="Valor Estoque"/>
    <tableColumn id="11" xr3:uid="{00000000-0010-0000-0700-00000B000000}" name="Margem Unit."/>
    <tableColumn id="12" xr3:uid="{00000000-0010-0000-0700-00000C000000}" name="Alert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Equipamentos" displayName="tblEquipamentos" ref="A5:I40">
  <autoFilter ref="A5:I40" xr:uid="{00000000-0009-0000-0100-000009000000}"/>
  <tableColumns count="9">
    <tableColumn id="1" xr3:uid="{00000000-0010-0000-0800-000001000000}" name="Equipamento"/>
    <tableColumn id="2" xr3:uid="{00000000-0010-0000-0800-000002000000}" name="Quantidade"/>
    <tableColumn id="3" xr3:uid="{00000000-0010-0000-0800-000003000000}" name="Data Compra"/>
    <tableColumn id="4" xr3:uid="{00000000-0010-0000-0800-000004000000}" name="Valor"/>
    <tableColumn id="5" xr3:uid="{00000000-0010-0000-0800-000005000000}" name="Fim Garantia"/>
    <tableColumn id="6" xr3:uid="{00000000-0010-0000-0800-000006000000}" name="Próx. Manutenção"/>
    <tableColumn id="7" xr3:uid="{00000000-0010-0000-0800-000007000000}" name="Status Manutenção"/>
    <tableColumn id="8" xr3:uid="{00000000-0010-0000-0800-000008000000}" name="Dias p/ Manutenção"/>
    <tableColumn id="9" xr3:uid="{00000000-0010-0000-0800-000009000000}" name="Observaçõ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Avaliacao" displayName="tblAvaliacao" ref="A5:J50">
  <autoFilter ref="A5:J50" xr:uid="{00000000-0009-0000-0100-00000A000000}"/>
  <tableColumns count="10">
    <tableColumn id="1" xr3:uid="{00000000-0010-0000-0900-000001000000}" name="Aluno"/>
    <tableColumn id="2" xr3:uid="{00000000-0010-0000-0900-000002000000}" name="Data"/>
    <tableColumn id="3" xr3:uid="{00000000-0010-0000-0900-000003000000}" name="Peso (kg)"/>
    <tableColumn id="4" xr3:uid="{00000000-0010-0000-0900-000004000000}" name="Altura (m)"/>
    <tableColumn id="5" xr3:uid="{00000000-0010-0000-0900-000005000000}" name="IMC"/>
    <tableColumn id="6" xr3:uid="{00000000-0010-0000-0900-000006000000}" name="% Gordura"/>
    <tableColumn id="7" xr3:uid="{00000000-0010-0000-0900-000007000000}" name="Massa Magra"/>
    <tableColumn id="8" xr3:uid="{00000000-0010-0000-0900-000008000000}" name="Professor"/>
    <tableColumn id="9" xr3:uid="{00000000-0010-0000-0900-000009000000}" name="Observações"/>
    <tableColumn id="10" xr3:uid="{00000000-0010-0000-0900-00000A000000}" name="Classificação IMC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resenca" displayName="tblPresenca" ref="A5:I100">
  <autoFilter ref="A5:I100" xr:uid="{00000000-0009-0000-0100-00000B000000}"/>
  <tableColumns count="9">
    <tableColumn id="1" xr3:uid="{00000000-0010-0000-0A00-000001000000}" name="Aluno"/>
    <tableColumn id="2" xr3:uid="{00000000-0010-0000-0A00-000002000000}" name="Data"/>
    <tableColumn id="3" xr3:uid="{00000000-0010-0000-0A00-000003000000}" name="Entrada"/>
    <tableColumn id="4" xr3:uid="{00000000-0010-0000-0A00-000004000000}" name="Saída"/>
    <tableColumn id="5" xr3:uid="{00000000-0010-0000-0A00-000005000000}" name="Professor"/>
    <tableColumn id="6" xr3:uid="{00000000-0010-0000-0A00-000006000000}" name="Tempo Treino (min)"/>
    <tableColumn id="7" xr3:uid="{00000000-0010-0000-0A00-000007000000}" name="Mês"/>
    <tableColumn id="8" xr3:uid="{00000000-0010-0000-0A00-000008000000}" name="Ano"/>
    <tableColumn id="9" xr3:uid="{00000000-0010-0000-0A00-000009000000}" name="Check-i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Usuarios" displayName="tbUsuarios" ref="A1:J9">
  <autoFilter ref="A1:J9" xr:uid="{00000000-0009-0000-0100-00000C000000}"/>
  <tableColumns count="10">
    <tableColumn id="1" xr3:uid="{00000000-0010-0000-0B00-000001000000}" name="ID"/>
    <tableColumn id="2" xr3:uid="{00000000-0010-0000-0B00-000002000000}" name="EmpresaID"/>
    <tableColumn id="3" xr3:uid="{00000000-0010-0000-0B00-000003000000}" name="UnidadeID"/>
    <tableColumn id="4" xr3:uid="{00000000-0010-0000-0B00-000004000000}" name="Nome"/>
    <tableColumn id="5" xr3:uid="{00000000-0010-0000-0B00-000005000000}" name="Usuário"/>
    <tableColumn id="6" xr3:uid="{00000000-0010-0000-0B00-000006000000}" name="Senha"/>
    <tableColumn id="7" xr3:uid="{00000000-0010-0000-0B00-000007000000}" name="Perfil"/>
    <tableColumn id="8" xr3:uid="{00000000-0010-0000-0B00-000008000000}" name="Status"/>
    <tableColumn id="9" xr3:uid="{00000000-0010-0000-0B00-000009000000}" name="Token"/>
    <tableColumn id="10" xr3:uid="{00000000-0010-0000-0B00-00000A000000}" name="Matrícula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Alunos" displayName="tbAlunos" ref="A1:W10">
  <autoFilter ref="A1:W10" xr:uid="{00000000-0009-0000-0100-00000D000000}"/>
  <tableColumns count="23">
    <tableColumn id="1" xr3:uid="{00000000-0010-0000-0C00-000001000000}" name="ID"/>
    <tableColumn id="2" xr3:uid="{00000000-0010-0000-0C00-000002000000}" name="EmpresaID"/>
    <tableColumn id="3" xr3:uid="{00000000-0010-0000-0C00-000003000000}" name="UnidadeID"/>
    <tableColumn id="4" xr3:uid="{00000000-0010-0000-0C00-000004000000}" name="Matrícula"/>
    <tableColumn id="5" xr3:uid="{00000000-0010-0000-0C00-000005000000}" name="Nome"/>
    <tableColumn id="6" xr3:uid="{00000000-0010-0000-0C00-000006000000}" name="CPF"/>
    <tableColumn id="7" xr3:uid="{00000000-0010-0000-0C00-000007000000}" name="RG"/>
    <tableColumn id="8" xr3:uid="{00000000-0010-0000-0C00-000008000000}" name="DataNascimento"/>
    <tableColumn id="9" xr3:uid="{00000000-0010-0000-0C00-000009000000}" name="Sexo"/>
    <tableColumn id="10" xr3:uid="{00000000-0010-0000-0C00-00000A000000}" name="Telefone"/>
    <tableColumn id="11" xr3:uid="{00000000-0010-0000-0C00-00000B000000}" name="WhatsApp"/>
    <tableColumn id="12" xr3:uid="{00000000-0010-0000-0C00-00000C000000}" name="Email"/>
    <tableColumn id="13" xr3:uid="{00000000-0010-0000-0C00-00000D000000}" name="CEP"/>
    <tableColumn id="14" xr3:uid="{00000000-0010-0000-0C00-00000E000000}" name="Endereço"/>
    <tableColumn id="15" xr3:uid="{00000000-0010-0000-0C00-00000F000000}" name="Número"/>
    <tableColumn id="16" xr3:uid="{00000000-0010-0000-0C00-000010000000}" name="Bairro"/>
    <tableColumn id="17" xr3:uid="{00000000-0010-0000-0C00-000011000000}" name="Cidade"/>
    <tableColumn id="18" xr3:uid="{00000000-0010-0000-0C00-000012000000}" name="Plano"/>
    <tableColumn id="19" xr3:uid="{00000000-0010-0000-0C00-000013000000}" name="Professor"/>
    <tableColumn id="20" xr3:uid="{00000000-0010-0000-0C00-000014000000}" name="ValorPlano"/>
    <tableColumn id="21" xr3:uid="{00000000-0010-0000-0C00-000015000000}" name="FormaPagamento"/>
    <tableColumn id="22" xr3:uid="{00000000-0010-0000-0C00-000016000000}" name="DataCadastro"/>
    <tableColumn id="23" xr3:uid="{00000000-0010-0000-0C00-000017000000}" name="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ContasReceberBD" displayName="tbContasReceberBD" ref="A1:P34">
  <autoFilter ref="A1:P34" xr:uid="{00000000-0009-0000-0100-00000E000000}"/>
  <tableColumns count="16">
    <tableColumn id="1" xr3:uid="{00000000-0010-0000-0D00-000001000000}" name="ID"/>
    <tableColumn id="2" xr3:uid="{00000000-0010-0000-0D00-000002000000}" name="EmpresaID"/>
    <tableColumn id="3" xr3:uid="{00000000-0010-0000-0D00-000003000000}" name="UnidadeID"/>
    <tableColumn id="4" xr3:uid="{00000000-0010-0000-0D00-000004000000}" name="Matrícula"/>
    <tableColumn id="5" xr3:uid="{00000000-0010-0000-0D00-000005000000}" name="Nome"/>
    <tableColumn id="6" xr3:uid="{00000000-0010-0000-0D00-000006000000}" name="Competência"/>
    <tableColumn id="7" xr3:uid="{00000000-0010-0000-0D00-000007000000}" name="Valor Original"/>
    <tableColumn id="8" xr3:uid="{00000000-0010-0000-0D00-000008000000}" name="Desconto"/>
    <tableColumn id="9" xr3:uid="{00000000-0010-0000-0D00-000009000000}" name="Multa"/>
    <tableColumn id="10" xr3:uid="{00000000-0010-0000-0D00-00000A000000}" name="Juros"/>
    <tableColumn id="11" xr3:uid="{00000000-0010-0000-0D00-00000B000000}" name="Valor Final"/>
    <tableColumn id="12" xr3:uid="{00000000-0010-0000-0D00-00000C000000}" name="Forma Pagamento"/>
    <tableColumn id="13" xr3:uid="{00000000-0010-0000-0D00-00000D000000}" name="Data Vencimento"/>
    <tableColumn id="14" xr3:uid="{00000000-0010-0000-0D00-00000E000000}" name="Data Pagamento"/>
    <tableColumn id="15" xr3:uid="{00000000-0010-0000-0D00-00000F000000}" name="Situação"/>
    <tableColumn id="16" xr3:uid="{00000000-0010-0000-0D00-000010000000}" name="Observação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ContasPagarBD" displayName="tbContasPagarBD" ref="A1:J7">
  <autoFilter ref="A1:J7" xr:uid="{00000000-0009-0000-0100-00000F000000}"/>
  <tableColumns count="10">
    <tableColumn id="1" xr3:uid="{00000000-0010-0000-0E00-000001000000}" name="ID"/>
    <tableColumn id="2" xr3:uid="{00000000-0010-0000-0E00-000002000000}" name="EmpresaID"/>
    <tableColumn id="3" xr3:uid="{00000000-0010-0000-0E00-000003000000}" name="UnidadeID"/>
    <tableColumn id="4" xr3:uid="{00000000-0010-0000-0E00-000004000000}" name="Fornecedor"/>
    <tableColumn id="5" xr3:uid="{00000000-0010-0000-0E00-000005000000}" name="Categoria"/>
    <tableColumn id="6" xr3:uid="{00000000-0010-0000-0E00-000006000000}" name="Valor"/>
    <tableColumn id="7" xr3:uid="{00000000-0010-0000-0E00-000007000000}" name="Vencimento"/>
    <tableColumn id="8" xr3:uid="{00000000-0010-0000-0E00-000008000000}" name="Pagamento"/>
    <tableColumn id="9" xr3:uid="{00000000-0010-0000-0E00-000009000000}" name="Situação"/>
    <tableColumn id="10" xr3:uid="{00000000-0010-0000-0E00-00000A000000}" name="Observação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ancamentos" displayName="tbLancamentos" ref="A1:K19">
  <autoFilter ref="A1:K19" xr:uid="{00000000-0009-0000-0100-000010000000}"/>
  <tableColumns count="11">
    <tableColumn id="1" xr3:uid="{00000000-0010-0000-0F00-000001000000}" name="ID"/>
    <tableColumn id="2" xr3:uid="{00000000-0010-0000-0F00-000002000000}" name="EmpresaID"/>
    <tableColumn id="3" xr3:uid="{00000000-0010-0000-0F00-000003000000}" name="UnidadeID"/>
    <tableColumn id="4" xr3:uid="{00000000-0010-0000-0F00-000004000000}" name="Data"/>
    <tableColumn id="5" xr3:uid="{00000000-0010-0000-0F00-000005000000}" name="Tipo"/>
    <tableColumn id="6" xr3:uid="{00000000-0010-0000-0F00-000006000000}" name="Origem"/>
    <tableColumn id="7" xr3:uid="{00000000-0010-0000-0F00-000007000000}" name="Categoria"/>
    <tableColumn id="8" xr3:uid="{00000000-0010-0000-0F00-000008000000}" name="Documento"/>
    <tableColumn id="9" xr3:uid="{00000000-0010-0000-0F00-000009000000}" name="Débito"/>
    <tableColumn id="10" xr3:uid="{00000000-0010-0000-0F00-00000A000000}" name="Crédito"/>
    <tableColumn id="11" xr3:uid="{00000000-0010-0000-0F00-00000B000000}" name="Usuári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FluxoCaixaBD" displayName="tbFluxoCaixaBD" ref="A1:G28">
  <autoFilter ref="A1:G28" xr:uid="{00000000-0009-0000-0100-000011000000}"/>
  <tableColumns count="7">
    <tableColumn id="1" xr3:uid="{00000000-0010-0000-1000-000001000000}" name="Data"/>
    <tableColumn id="2" xr3:uid="{00000000-0010-0000-1000-000002000000}" name="Tipo"/>
    <tableColumn id="3" xr3:uid="{00000000-0010-0000-1000-000003000000}" name="Categoria"/>
    <tableColumn id="4" xr3:uid="{00000000-0010-0000-1000-000004000000}" name="Descrição"/>
    <tableColumn id="5" xr3:uid="{00000000-0010-0000-1000-000005000000}" name="Entrada"/>
    <tableColumn id="6" xr3:uid="{00000000-0010-0000-1000-000006000000}" name="Saída"/>
    <tableColumn id="7" xr3:uid="{00000000-0010-0000-1000-000007000000}" name="Saldo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bParametros" displayName="tbParametros" ref="A1:D46">
  <autoFilter ref="A1:D46" xr:uid="{00000000-0009-0000-0100-000012000000}"/>
  <tableColumns count="4">
    <tableColumn id="1" xr3:uid="{00000000-0010-0000-1100-000001000000}" name="Grupo"/>
    <tableColumn id="2" xr3:uid="{00000000-0010-0000-1100-000002000000}" name="Parâmetro"/>
    <tableColumn id="3" xr3:uid="{00000000-0010-0000-1100-000003000000}" name="Valor"/>
    <tableColumn id="4" xr3:uid="{00000000-0010-0000-1100-000004000000}" name="Descrição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bPlanos" displayName="tbPlanos" ref="A1:G9">
  <autoFilter ref="A1:G9" xr:uid="{00000000-0009-0000-0100-000013000000}"/>
  <tableColumns count="7">
    <tableColumn id="1" xr3:uid="{00000000-0010-0000-1200-000001000000}" name="ID"/>
    <tableColumn id="2" xr3:uid="{00000000-0010-0000-1200-000002000000}" name="Plano"/>
    <tableColumn id="3" xr3:uid="{00000000-0010-0000-1200-000003000000}" name="Valor"/>
    <tableColumn id="4" xr3:uid="{00000000-0010-0000-1200-000004000000}" name="Matrícula"/>
    <tableColumn id="5" xr3:uid="{00000000-0010-0000-1200-000005000000}" name="Vencimento"/>
    <tableColumn id="6" xr3:uid="{00000000-0010-0000-1200-000006000000}" name="Fidelidade"/>
    <tableColumn id="7" xr3:uid="{00000000-0010-0000-1200-000007000000}" name="Statu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bFormasPagamento" displayName="tbFormasPagamento" ref="A1:D7">
  <autoFilter ref="A1:D7" xr:uid="{00000000-0009-0000-0100-000014000000}"/>
  <tableColumns count="4">
    <tableColumn id="1" xr3:uid="{00000000-0010-0000-1300-000001000000}" name="ID"/>
    <tableColumn id="2" xr3:uid="{00000000-0010-0000-1300-000002000000}" name="Forma"/>
    <tableColumn id="3" xr3:uid="{00000000-0010-0000-1300-000003000000}" name="Taxa"/>
    <tableColumn id="4" xr3:uid="{00000000-0010-0000-1300-000004000000}" name="CompensaEmDia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bStatus" displayName="tbStatus" ref="A1:B17">
  <autoFilter ref="A1:B17" xr:uid="{00000000-0009-0000-0100-000015000000}"/>
  <tableColumns count="2">
    <tableColumn id="1" xr3:uid="{00000000-0010-0000-1400-000001000000}" name="Tipo"/>
    <tableColumn id="2" xr3:uid="{00000000-0010-0000-1400-000002000000}" name="Statu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bPermissoes" displayName="tbPermissoes" ref="A1:I7">
  <autoFilter ref="A1:I7" xr:uid="{00000000-0009-0000-0100-000016000000}"/>
  <tableColumns count="9">
    <tableColumn id="1" xr3:uid="{00000000-0010-0000-1500-000001000000}" name="Perfil"/>
    <tableColumn id="2" xr3:uid="{00000000-0010-0000-1500-000002000000}" name="Dashboard"/>
    <tableColumn id="3" xr3:uid="{00000000-0010-0000-1500-000003000000}" name="Financeiro"/>
    <tableColumn id="4" xr3:uid="{00000000-0010-0000-1500-000004000000}" name="Estoque"/>
    <tableColumn id="5" xr3:uid="{00000000-0010-0000-1500-000005000000}" name="Configuração"/>
    <tableColumn id="6" xr3:uid="{00000000-0010-0000-1500-000006000000}" name="Alunos"/>
    <tableColumn id="7" xr3:uid="{00000000-0010-0000-1500-000007000000}" name="Mensalidades"/>
    <tableColumn id="8" xr3:uid="{00000000-0010-0000-1500-000008000000}" name="Relatorios"/>
    <tableColumn id="9" xr3:uid="{00000000-0010-0000-1500-000009000000}" name="Excluir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bCores" displayName="tbCores" ref="A1:B7">
  <autoFilter ref="A1:B7" xr:uid="{00000000-0009-0000-0100-000017000000}"/>
  <tableColumns count="2">
    <tableColumn id="1" xr3:uid="{00000000-0010-0000-1600-000001000000}" name="Item"/>
    <tableColumn id="2" xr3:uid="{00000000-0010-0000-1600-000002000000}" name="Cor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bMetas" displayName="tbMetas" ref="A1:G11">
  <autoFilter ref="A1:G11" xr:uid="{00000000-0009-0000-0100-000018000000}"/>
  <tableColumns count="7">
    <tableColumn id="1" xr3:uid="{00000000-0010-0000-1700-000001000000}" name="Indicador"/>
    <tableColumn id="2" xr3:uid="{00000000-0010-0000-1700-000002000000}" name="Meta"/>
    <tableColumn id="3" xr3:uid="{00000000-0010-0000-1700-000003000000}" name="Atual"/>
    <tableColumn id="4" xr3:uid="{00000000-0010-0000-1700-000004000000}" name="Unidade"/>
    <tableColumn id="5" xr3:uid="{00000000-0010-0000-1700-000005000000}" name="Área"/>
    <tableColumn id="6" xr3:uid="{00000000-0010-0000-1700-000006000000}" name="Progresso"/>
    <tableColumn id="7" xr3:uid="{00000000-0010-0000-1700-000007000000}" name="Semáforo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bNotificacoes" displayName="tbNotificacoes" ref="A1:G5">
  <autoFilter ref="A1:G5" xr:uid="{00000000-0009-0000-0100-000019000000}"/>
  <tableColumns count="7">
    <tableColumn id="1" xr3:uid="{00000000-0010-0000-1800-000001000000}" name="Data"/>
    <tableColumn id="2" xr3:uid="{00000000-0010-0000-1800-000002000000}" name="Hora"/>
    <tableColumn id="3" xr3:uid="{00000000-0010-0000-1800-000003000000}" name="Tipo"/>
    <tableColumn id="4" xr3:uid="{00000000-0010-0000-1800-000004000000}" name="Prioridade"/>
    <tableColumn id="5" xr3:uid="{00000000-0010-0000-1800-000005000000}" name="Mensagem"/>
    <tableColumn id="6" xr3:uid="{00000000-0010-0000-1800-000006000000}" name="Destino"/>
    <tableColumn id="7" xr3:uid="{00000000-0010-0000-1800-000007000000}" name="Lida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bEventos" displayName="tbEventos" ref="A1:M10">
  <autoFilter ref="A1:M10" xr:uid="{00000000-0009-0000-0100-00001A000000}"/>
  <tableColumns count="13">
    <tableColumn id="1" xr3:uid="{00000000-0010-0000-1900-000001000000}" name="ID"/>
    <tableColumn id="2" xr3:uid="{00000000-0010-0000-1900-000002000000}" name="Tipo"/>
    <tableColumn id="3" xr3:uid="{00000000-0010-0000-1900-000003000000}" name="Título"/>
    <tableColumn id="4" xr3:uid="{00000000-0010-0000-1900-000004000000}" name="Referência"/>
    <tableColumn id="5" xr3:uid="{00000000-0010-0000-1900-000005000000}" name="Data"/>
    <tableColumn id="6" xr3:uid="{00000000-0010-0000-1900-000006000000}" name="Hora"/>
    <tableColumn id="7" xr3:uid="{00000000-0010-0000-1900-000007000000}" name="Responsável"/>
    <tableColumn id="8" xr3:uid="{00000000-0010-0000-1900-000008000000}" name="Status"/>
    <tableColumn id="9" xr3:uid="{00000000-0010-0000-1900-000009000000}" name="Prioridade"/>
    <tableColumn id="10" xr3:uid="{00000000-0010-0000-1900-00000A000000}" name="Módulo"/>
    <tableColumn id="11" xr3:uid="{00000000-0010-0000-1900-00000B000000}" name="Observação"/>
    <tableColumn id="12" xr3:uid="{00000000-0010-0000-1900-00000C000000}" name="Origem"/>
    <tableColumn id="13" xr3:uid="{00000000-0010-0000-1900-00000D000000}" name="UnidadeID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bPrioridades" displayName="tbPrioridades" ref="A1:F9">
  <autoFilter ref="A1:F9" xr:uid="{00000000-0009-0000-0100-00001B000000}"/>
  <tableColumns count="6">
    <tableColumn id="1" xr3:uid="{00000000-0010-0000-1A00-000001000000}" name="Tipo"/>
    <tableColumn id="2" xr3:uid="{00000000-0010-0000-1A00-000002000000}" name="Peso"/>
    <tableColumn id="3" xr3:uid="{00000000-0010-0000-1A00-000003000000}" name="Nível"/>
    <tableColumn id="4" xr3:uid="{00000000-0010-0000-1A00-000004000000}" name="Ícone"/>
    <tableColumn id="5" xr3:uid="{00000000-0010-0000-1A00-000005000000}" name="Destino"/>
    <tableColumn id="6" xr3:uid="{00000000-0010-0000-1A00-000006000000}" name="Filtro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bLeads" displayName="tbLeads" ref="A1:N12">
  <autoFilter ref="A1:N12" xr:uid="{00000000-0009-0000-0100-00001C000000}"/>
  <tableColumns count="14">
    <tableColumn id="1" xr3:uid="{00000000-0010-0000-1B00-000001000000}" name="ID"/>
    <tableColumn id="2" xr3:uid="{00000000-0010-0000-1B00-000002000000}" name="Nome"/>
    <tableColumn id="3" xr3:uid="{00000000-0010-0000-1B00-000003000000}" name="Telefone"/>
    <tableColumn id="4" xr3:uid="{00000000-0010-0000-1B00-000004000000}" name="Email"/>
    <tableColumn id="5" xr3:uid="{00000000-0010-0000-1B00-000005000000}" name="Origem"/>
    <tableColumn id="6" xr3:uid="{00000000-0010-0000-1B00-000006000000}" name="Interesse"/>
    <tableColumn id="7" xr3:uid="{00000000-0010-0000-1B00-000007000000}" name="Data Cadastro"/>
    <tableColumn id="8" xr3:uid="{00000000-0010-0000-1B00-000008000000}" name="Responsável"/>
    <tableColumn id="9" xr3:uid="{00000000-0010-0000-1B00-000009000000}" name="Status"/>
    <tableColumn id="10" xr3:uid="{00000000-0010-0000-1B00-00000A000000}" name="Observações"/>
    <tableColumn id="11" xr3:uid="{00000000-0010-0000-1B00-00000B000000}" name="Próxima Ação"/>
    <tableColumn id="12" xr3:uid="{00000000-0010-0000-1B00-00000C000000}" name="Data Próxima"/>
    <tableColumn id="13" xr3:uid="{00000000-0010-0000-1B00-00000D000000}" name="Matrícula"/>
    <tableColumn id="14" xr3:uid="{00000000-0010-0000-1B00-00000E000000}" name="UnidadeID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bCrmHistorico" displayName="tbCrmHistorico" ref="A1:G12">
  <autoFilter ref="A1:G12" xr:uid="{00000000-0009-0000-0100-00001D000000}"/>
  <tableColumns count="7">
    <tableColumn id="1" xr3:uid="{00000000-0010-0000-1C00-000001000000}" name="ID"/>
    <tableColumn id="2" xr3:uid="{00000000-0010-0000-1C00-000002000000}" name="LeadID"/>
    <tableColumn id="3" xr3:uid="{00000000-0010-0000-1C00-000003000000}" name="Data"/>
    <tableColumn id="4" xr3:uid="{00000000-0010-0000-1C00-000004000000}" name="Hora"/>
    <tableColumn id="5" xr3:uid="{00000000-0010-0000-1C00-000005000000}" name="Tipo"/>
    <tableColumn id="6" xr3:uid="{00000000-0010-0000-1C00-000006000000}" name="Descrição"/>
    <tableColumn id="7" xr3:uid="{00000000-0010-0000-1C00-000007000000}" name="Usuário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bRetencao" displayName="tbRetencao" ref="A1:F5">
  <autoFilter ref="A1:F5" xr:uid="{00000000-0009-0000-0100-00001E000000}"/>
  <tableColumns count="6">
    <tableColumn id="1" xr3:uid="{00000000-0010-0000-1D00-000001000000}" name="Matrícula"/>
    <tableColumn id="2" xr3:uid="{00000000-0010-0000-1D00-000002000000}" name="Nome"/>
    <tableColumn id="3" xr3:uid="{00000000-0010-0000-1D00-000003000000}" name="Motivo"/>
    <tableColumn id="4" xr3:uid="{00000000-0010-0000-1D00-000004000000}" name="Data"/>
    <tableColumn id="5" xr3:uid="{00000000-0010-0000-1D00-000005000000}" name="Responsável"/>
    <tableColumn id="6" xr3:uid="{00000000-0010-0000-1D00-000006000000}" name="Status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bCampanhas" displayName="tbCampanhas" ref="A1:G6">
  <autoFilter ref="A1:G6" xr:uid="{00000000-0009-0000-0100-00001F000000}"/>
  <tableColumns count="7">
    <tableColumn id="1" xr3:uid="{00000000-0010-0000-1E00-000001000000}" name="ID"/>
    <tableColumn id="2" xr3:uid="{00000000-0010-0000-1E00-000002000000}" name="Nome"/>
    <tableColumn id="3" xr3:uid="{00000000-0010-0000-1E00-000003000000}" name="Público"/>
    <tableColumn id="4" xr3:uid="{00000000-0010-0000-1E00-000004000000}" name="Data Início"/>
    <tableColumn id="5" xr3:uid="{00000000-0010-0000-1E00-000005000000}" name="Data Fim"/>
    <tableColumn id="6" xr3:uid="{00000000-0010-0000-1E00-000006000000}" name="Resultado"/>
    <tableColumn id="7" xr3:uid="{00000000-0010-0000-1E00-000007000000}" name="Status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bIndicacoes" displayName="tbIndicacoes" ref="A1:H5">
  <autoFilter ref="A1:H5" xr:uid="{00000000-0009-0000-0100-000020000000}"/>
  <tableColumns count="8">
    <tableColumn id="1" xr3:uid="{00000000-0010-0000-1F00-000001000000}" name="ID"/>
    <tableColumn id="2" xr3:uid="{00000000-0010-0000-1F00-000002000000}" name="Aluno"/>
    <tableColumn id="3" xr3:uid="{00000000-0010-0000-1F00-000003000000}" name="Matrícula Aluno"/>
    <tableColumn id="4" xr3:uid="{00000000-0010-0000-1F00-000004000000}" name="Indicado"/>
    <tableColumn id="5" xr3:uid="{00000000-0010-0000-1F00-000005000000}" name="Telefone Indicado"/>
    <tableColumn id="6" xr3:uid="{00000000-0010-0000-1F00-000006000000}" name="Status"/>
    <tableColumn id="7" xr3:uid="{00000000-0010-0000-1F00-000007000000}" name="Bônus"/>
    <tableColumn id="8" xr3:uid="{00000000-0010-0000-1F00-000008000000}" name="Data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bAvaliacoes" displayName="tbAvaliacoes" ref="A1:M8">
  <autoFilter ref="A1:M8" xr:uid="{00000000-0009-0000-0100-000021000000}"/>
  <tableColumns count="13">
    <tableColumn id="1" xr3:uid="{00000000-0010-0000-2000-000001000000}" name="ID"/>
    <tableColumn id="2" xr3:uid="{00000000-0010-0000-2000-000002000000}" name="Matrícula"/>
    <tableColumn id="3" xr3:uid="{00000000-0010-0000-2000-000003000000}" name="Nome"/>
    <tableColumn id="4" xr3:uid="{00000000-0010-0000-2000-000004000000}" name="Data"/>
    <tableColumn id="5" xr3:uid="{00000000-0010-0000-2000-000005000000}" name="Professor"/>
    <tableColumn id="6" xr3:uid="{00000000-0010-0000-2000-000006000000}" name="Peso"/>
    <tableColumn id="7" xr3:uid="{00000000-0010-0000-2000-000007000000}" name="Altura"/>
    <tableColumn id="8" xr3:uid="{00000000-0010-0000-2000-000008000000}" name="IMC"/>
    <tableColumn id="9" xr3:uid="{00000000-0010-0000-2000-000009000000}" name="Gordura Corporal"/>
    <tableColumn id="10" xr3:uid="{00000000-0010-0000-2000-00000A000000}" name="Massa Magra"/>
    <tableColumn id="11" xr3:uid="{00000000-0010-0000-2000-00000B000000}" name="Massa Gorda"/>
    <tableColumn id="12" xr3:uid="{00000000-0010-0000-2000-00000C000000}" name="Objetivo"/>
    <tableColumn id="13" xr3:uid="{00000000-0010-0000-2000-00000D000000}" name="Observações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bMedidas" displayName="tbMedidas" ref="A1:L8">
  <autoFilter ref="A1:L8" xr:uid="{00000000-0009-0000-0100-000022000000}"/>
  <tableColumns count="12">
    <tableColumn id="1" xr3:uid="{00000000-0010-0000-2100-000001000000}" name="ID"/>
    <tableColumn id="2" xr3:uid="{00000000-0010-0000-2100-000002000000}" name="AvaliacaoID"/>
    <tableColumn id="3" xr3:uid="{00000000-0010-0000-2100-000003000000}" name="Peitoral"/>
    <tableColumn id="4" xr3:uid="{00000000-0010-0000-2100-000004000000}" name="Cintura"/>
    <tableColumn id="5" xr3:uid="{00000000-0010-0000-2100-000005000000}" name="Abdômen"/>
    <tableColumn id="6" xr3:uid="{00000000-0010-0000-2100-000006000000}" name="Quadril"/>
    <tableColumn id="7" xr3:uid="{00000000-0010-0000-2100-000007000000}" name="Bíceps Direito"/>
    <tableColumn id="8" xr3:uid="{00000000-0010-0000-2100-000008000000}" name="Bíceps Esquerdo"/>
    <tableColumn id="9" xr3:uid="{00000000-0010-0000-2100-000009000000}" name="Antebraço"/>
    <tableColumn id="10" xr3:uid="{00000000-0010-0000-2100-00000A000000}" name="Coxa"/>
    <tableColumn id="11" xr3:uid="{00000000-0010-0000-2100-00000B000000}" name="Panturrilha"/>
    <tableColumn id="12" xr3:uid="{00000000-0010-0000-2100-00000C000000}" name="Ombros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bTreinos" displayName="tbTreinos" ref="A1:K6">
  <autoFilter ref="A1:K6" xr:uid="{00000000-0009-0000-0100-000023000000}"/>
  <tableColumns count="11">
    <tableColumn id="1" xr3:uid="{00000000-0010-0000-2200-000001000000}" name="ID"/>
    <tableColumn id="2" xr3:uid="{00000000-0010-0000-2200-000002000000}" name="Matrícula"/>
    <tableColumn id="3" xr3:uid="{00000000-0010-0000-2200-000003000000}" name="Nome"/>
    <tableColumn id="4" xr3:uid="{00000000-0010-0000-2200-000004000000}" name="Professor"/>
    <tableColumn id="5" xr3:uid="{00000000-0010-0000-2200-000005000000}" name="Tipo"/>
    <tableColumn id="6" xr3:uid="{00000000-0010-0000-2200-000006000000}" name="Objetivo"/>
    <tableColumn id="7" xr3:uid="{00000000-0010-0000-2200-000007000000}" name="Divisão"/>
    <tableColumn id="8" xr3:uid="{00000000-0010-0000-2200-000008000000}" name="Data Início"/>
    <tableColumn id="9" xr3:uid="{00000000-0010-0000-2200-000009000000}" name="Data Fim"/>
    <tableColumn id="10" xr3:uid="{00000000-0010-0000-2200-00000A000000}" name="Versão"/>
    <tableColumn id="11" xr3:uid="{00000000-0010-0000-2200-00000B000000}" name="Status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tbExercicios" displayName="tbExercicios" ref="A1:D22">
  <autoFilter ref="A1:D22" xr:uid="{00000000-0009-0000-0100-000024000000}"/>
  <tableColumns count="4">
    <tableColumn id="1" xr3:uid="{00000000-0010-0000-2300-000001000000}" name="Código"/>
    <tableColumn id="2" xr3:uid="{00000000-0010-0000-2300-000002000000}" name="Exercício"/>
    <tableColumn id="3" xr3:uid="{00000000-0010-0000-2300-000003000000}" name="Grupo Muscular"/>
    <tableColumn id="4" xr3:uid="{00000000-0010-0000-2300-000004000000}" name="Equipamento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tbTreinoItens" displayName="tbTreinoItens" ref="A1:J17">
  <autoFilter ref="A1:J17" xr:uid="{00000000-0009-0000-0100-000025000000}"/>
  <tableColumns count="10">
    <tableColumn id="1" xr3:uid="{00000000-0010-0000-2400-000001000000}" name="ID"/>
    <tableColumn id="2" xr3:uid="{00000000-0010-0000-2400-000002000000}" name="TreinoID"/>
    <tableColumn id="3" xr3:uid="{00000000-0010-0000-2400-000003000000}" name="Dia"/>
    <tableColumn id="4" xr3:uid="{00000000-0010-0000-2400-000004000000}" name="Grupo"/>
    <tableColumn id="5" xr3:uid="{00000000-0010-0000-2400-000005000000}" name="ExercicioCodigo"/>
    <tableColumn id="6" xr3:uid="{00000000-0010-0000-2400-000006000000}" name="Exercício"/>
    <tableColumn id="7" xr3:uid="{00000000-0010-0000-2400-000007000000}" name="Séries"/>
    <tableColumn id="8" xr3:uid="{00000000-0010-0000-2400-000008000000}" name="Repetições"/>
    <tableColumn id="9" xr3:uid="{00000000-0010-0000-2400-000009000000}" name="Ordem"/>
    <tableColumn id="10" xr3:uid="{00000000-0010-0000-2400-00000A000000}" name="Observação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tbFotos" displayName="tbFotos" ref="A1:F4">
  <autoFilter ref="A1:F4" xr:uid="{00000000-0009-0000-0100-000026000000}"/>
  <tableColumns count="6">
    <tableColumn id="1" xr3:uid="{00000000-0010-0000-2500-000001000000}" name="ID"/>
    <tableColumn id="2" xr3:uid="{00000000-0010-0000-2500-000002000000}" name="Matrícula"/>
    <tableColumn id="3" xr3:uid="{00000000-0010-0000-2500-000003000000}" name="Data"/>
    <tableColumn id="4" xr3:uid="{00000000-0010-0000-2500-000004000000}" name="Frente"/>
    <tableColumn id="5" xr3:uid="{00000000-0010-0000-2500-000005000000}" name="Lado"/>
    <tableColumn id="6" xr3:uid="{00000000-0010-0000-2500-000006000000}" name="Costas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tbAcessos" displayName="tbAcessos" ref="A1:J9">
  <autoFilter ref="A1:J9" xr:uid="{00000000-0009-0000-0100-000027000000}"/>
  <tableColumns count="10">
    <tableColumn id="1" xr3:uid="{00000000-0010-0000-2600-000001000000}" name="ID"/>
    <tableColumn id="2" xr3:uid="{00000000-0010-0000-2600-000002000000}" name="Matrícula"/>
    <tableColumn id="3" xr3:uid="{00000000-0010-0000-2600-000003000000}" name="Nome"/>
    <tableColumn id="4" xr3:uid="{00000000-0010-0000-2600-000004000000}" name="Data"/>
    <tableColumn id="5" xr3:uid="{00000000-0010-0000-2600-000005000000}" name="Entrada"/>
    <tableColumn id="6" xr3:uid="{00000000-0010-0000-2600-000006000000}" name="Saída"/>
    <tableColumn id="7" xr3:uid="{00000000-0010-0000-2600-000007000000}" name="Tempo Permanência"/>
    <tableColumn id="8" xr3:uid="{00000000-0010-0000-2600-000008000000}" name="Forma Acesso"/>
    <tableColumn id="9" xr3:uid="{00000000-0010-0000-2600-000009000000}" name="Responsável"/>
    <tableColumn id="10" xr3:uid="{00000000-0010-0000-2600-00000A000000}" name="Status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tbPresencasBD" displayName="tbPresencasBD" ref="A1:G8">
  <autoFilter ref="A1:G8" xr:uid="{00000000-0009-0000-0100-000028000000}"/>
  <tableColumns count="7">
    <tableColumn id="1" xr3:uid="{00000000-0010-0000-2700-000001000000}" name="Matrícula"/>
    <tableColumn id="2" xr3:uid="{00000000-0010-0000-2700-000002000000}" name="Nome"/>
    <tableColumn id="3" xr3:uid="{00000000-0010-0000-2700-000003000000}" name="Data"/>
    <tableColumn id="4" xr3:uid="{00000000-0010-0000-2700-000004000000}" name="Presente"/>
    <tableColumn id="5" xr3:uid="{00000000-0010-0000-2700-000005000000}" name="Professor"/>
    <tableColumn id="6" xr3:uid="{00000000-0010-0000-2700-000006000000}" name="Aula"/>
    <tableColumn id="7" xr3:uid="{00000000-0010-0000-2700-000007000000}" name="Unidad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tbUnidades" displayName="tbUnidades" ref="A1:O5">
  <autoFilter ref="A1:O5" xr:uid="{00000000-0009-0000-0100-000029000000}"/>
  <tableColumns count="15">
    <tableColumn id="1" xr3:uid="{00000000-0010-0000-2800-000001000000}" name="ID"/>
    <tableColumn id="2" xr3:uid="{00000000-0010-0000-2800-000002000000}" name="EmpresaID"/>
    <tableColumn id="3" xr3:uid="{00000000-0010-0000-2800-000003000000}" name="Nome"/>
    <tableColumn id="4" xr3:uid="{00000000-0010-0000-2800-000004000000}" name="Código"/>
    <tableColumn id="5" xr3:uid="{00000000-0010-0000-2800-000005000000}" name="CNPJ"/>
    <tableColumn id="6" xr3:uid="{00000000-0010-0000-2800-000006000000}" name="Telefone"/>
    <tableColumn id="7" xr3:uid="{00000000-0010-0000-2800-000007000000}" name="WhatsApp"/>
    <tableColumn id="8" xr3:uid="{00000000-0010-0000-2800-000008000000}" name="Email"/>
    <tableColumn id="9" xr3:uid="{00000000-0010-0000-2800-000009000000}" name="CEP"/>
    <tableColumn id="10" xr3:uid="{00000000-0010-0000-2800-00000A000000}" name="Endereço"/>
    <tableColumn id="11" xr3:uid="{00000000-0010-0000-2800-00000B000000}" name="Cidade"/>
    <tableColumn id="12" xr3:uid="{00000000-0010-0000-2800-00000C000000}" name="Estado"/>
    <tableColumn id="13" xr3:uid="{00000000-0010-0000-2800-00000D000000}" name="Responsável"/>
    <tableColumn id="14" xr3:uid="{00000000-0010-0000-2800-00000E000000}" name="Status"/>
    <tableColumn id="15" xr3:uid="{00000000-0010-0000-2800-00000F000000}" name="DataCadastro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tbParametrosUnidade" displayName="tbParametrosUnidade" ref="A1:D9">
  <autoFilter ref="A1:D9" xr:uid="{00000000-0009-0000-0100-00002A000000}"/>
  <tableColumns count="4">
    <tableColumn id="1" xr3:uid="{00000000-0010-0000-2900-000001000000}" name="ID"/>
    <tableColumn id="2" xr3:uid="{00000000-0010-0000-2900-000002000000}" name="UnidadeID"/>
    <tableColumn id="3" xr3:uid="{00000000-0010-0000-2900-000003000000}" name="Chave"/>
    <tableColumn id="4" xr3:uid="{00000000-0010-0000-2900-000004000000}" name="Valor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tbProfessorUnidade" displayName="tbProfessorUnidade" ref="A1:F5">
  <autoFilter ref="A1:F5" xr:uid="{00000000-0009-0000-0100-00002B000000}"/>
  <tableColumns count="6">
    <tableColumn id="1" xr3:uid="{00000000-0010-0000-2A00-000001000000}" name="ID"/>
    <tableColumn id="2" xr3:uid="{00000000-0010-0000-2A00-000002000000}" name="ProfessorID"/>
    <tableColumn id="3" xr3:uid="{00000000-0010-0000-2A00-000003000000}" name="Professor"/>
    <tableColumn id="4" xr3:uid="{00000000-0010-0000-2A00-000004000000}" name="UnidadeID"/>
    <tableColumn id="5" xr3:uid="{00000000-0010-0000-2A00-000005000000}" name="Unidade"/>
    <tableColumn id="6" xr3:uid="{00000000-0010-0000-2A00-000006000000}" name="Status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tbTransferencias" displayName="tbTransferencias" ref="A1:L2">
  <autoFilter ref="A1:L2" xr:uid="{00000000-0009-0000-0100-00002C000000}"/>
  <tableColumns count="12">
    <tableColumn id="1" xr3:uid="{00000000-0010-0000-2B00-000001000000}" name="ID"/>
    <tableColumn id="2" xr3:uid="{00000000-0010-0000-2B00-000002000000}" name="Data"/>
    <tableColumn id="3" xr3:uid="{00000000-0010-0000-2B00-000003000000}" name="Código"/>
    <tableColumn id="4" xr3:uid="{00000000-0010-0000-2B00-000004000000}" name="Produto"/>
    <tableColumn id="5" xr3:uid="{00000000-0010-0000-2B00-000005000000}" name="Qtde"/>
    <tableColumn id="6" xr3:uid="{00000000-0010-0000-2B00-000006000000}" name="OrigemID"/>
    <tableColumn id="7" xr3:uid="{00000000-0010-0000-2B00-000007000000}" name="Origem"/>
    <tableColumn id="8" xr3:uid="{00000000-0010-0000-2B00-000008000000}" name="DestinoID"/>
    <tableColumn id="9" xr3:uid="{00000000-0010-0000-2B00-000009000000}" name="Destino"/>
    <tableColumn id="10" xr3:uid="{00000000-0010-0000-2B00-00000A000000}" name="Usuário"/>
    <tableColumn id="11" xr3:uid="{00000000-0010-0000-2B00-00000B000000}" name="Status"/>
    <tableColumn id="12" xr3:uid="{00000000-0010-0000-2B00-00000C000000}" name="Obs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bUsuarioUnidade" displayName="tbUsuarioUnidade" ref="A1:F4">
  <autoFilter ref="A1:F4" xr:uid="{00000000-0009-0000-0100-00002D000000}"/>
  <tableColumns count="6">
    <tableColumn id="1" xr3:uid="{00000000-0010-0000-2C00-000001000000}" name="ID"/>
    <tableColumn id="2" xr3:uid="{00000000-0010-0000-2C00-000002000000}" name="UsuarioID"/>
    <tableColumn id="3" xr3:uid="{00000000-0010-0000-2C00-000003000000}" name="Usuário"/>
    <tableColumn id="4" xr3:uid="{00000000-0010-0000-2C00-000004000000}" name="UnidadeID"/>
    <tableColumn id="5" xr3:uid="{00000000-0010-0000-2C00-000005000000}" name="Unidade"/>
    <tableColumn id="6" xr3:uid="{00000000-0010-0000-2C00-000006000000}" name="Status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bProdutos" displayName="tbProdutos" ref="A1:P13">
  <autoFilter ref="A1:P13" xr:uid="{00000000-0009-0000-0100-00002E000000}"/>
  <tableColumns count="16">
    <tableColumn id="1" xr3:uid="{00000000-0010-0000-2D00-000001000000}" name="Código"/>
    <tableColumn id="2" xr3:uid="{00000000-0010-0000-2D00-000002000000}" name="Código de Barras"/>
    <tableColumn id="3" xr3:uid="{00000000-0010-0000-2D00-000003000000}" name="Produto"/>
    <tableColumn id="4" xr3:uid="{00000000-0010-0000-2D00-000004000000}" name="Categoria"/>
    <tableColumn id="5" xr3:uid="{00000000-0010-0000-2D00-000005000000}" name="Marca"/>
    <tableColumn id="6" xr3:uid="{00000000-0010-0000-2D00-000006000000}" name="Unidade Medida"/>
    <tableColumn id="7" xr3:uid="{00000000-0010-0000-2D00-000007000000}" name="Custo"/>
    <tableColumn id="8" xr3:uid="{00000000-0010-0000-2D00-000008000000}" name="Preço Venda"/>
    <tableColumn id="9" xr3:uid="{00000000-0010-0000-2D00-000009000000}" name="Estoque Atual"/>
    <tableColumn id="10" xr3:uid="{00000000-0010-0000-2D00-00000A000000}" name="Estoque Mínimo"/>
    <tableColumn id="11" xr3:uid="{00000000-0010-0000-2D00-00000B000000}" name="Estoque Máximo"/>
    <tableColumn id="12" xr3:uid="{00000000-0010-0000-2D00-00000C000000}" name="Localização"/>
    <tableColumn id="13" xr3:uid="{00000000-0010-0000-2D00-00000D000000}" name="Status"/>
    <tableColumn id="14" xr3:uid="{00000000-0010-0000-2D00-00000E000000}" name="Unidade"/>
    <tableColumn id="15" xr3:uid="{00000000-0010-0000-2D00-00000F000000}" name="UnidadeID"/>
    <tableColumn id="16" xr3:uid="{00000000-0010-0000-2D00-000010000000}" name="Classe ABC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bFornecedores" displayName="tbFornecedores" ref="A1:H3">
  <autoFilter ref="A1:H3" xr:uid="{00000000-0009-0000-0100-00002F000000}"/>
  <tableColumns count="8">
    <tableColumn id="1" xr3:uid="{00000000-0010-0000-2E00-000001000000}" name="Código"/>
    <tableColumn id="2" xr3:uid="{00000000-0010-0000-2E00-000002000000}" name="Empresa"/>
    <tableColumn id="3" xr3:uid="{00000000-0010-0000-2E00-000003000000}" name="CNPJ"/>
    <tableColumn id="4" xr3:uid="{00000000-0010-0000-2E00-000004000000}" name="Contato"/>
    <tableColumn id="5" xr3:uid="{00000000-0010-0000-2E00-000005000000}" name="Telefone"/>
    <tableColumn id="6" xr3:uid="{00000000-0010-0000-2E00-000006000000}" name="E-mail"/>
    <tableColumn id="7" xr3:uid="{00000000-0010-0000-2E00-000007000000}" name="Cidade"/>
    <tableColumn id="8" xr3:uid="{00000000-0010-0000-2E00-000008000000}" name="Condição de Pagamento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bCompras" displayName="tbCompras" ref="A1:J3">
  <autoFilter ref="A1:J3" xr:uid="{00000000-0009-0000-0100-000030000000}"/>
  <tableColumns count="10">
    <tableColumn id="1" xr3:uid="{00000000-0010-0000-2F00-000001000000}" name="ID"/>
    <tableColumn id="2" xr3:uid="{00000000-0010-0000-2F00-000002000000}" name="Compra"/>
    <tableColumn id="3" xr3:uid="{00000000-0010-0000-2F00-000003000000}" name="Produto"/>
    <tableColumn id="4" xr3:uid="{00000000-0010-0000-2F00-000004000000}" name="Código"/>
    <tableColumn id="5" xr3:uid="{00000000-0010-0000-2F00-000005000000}" name="Quantidade"/>
    <tableColumn id="6" xr3:uid="{00000000-0010-0000-2F00-000006000000}" name="Valor"/>
    <tableColumn id="7" xr3:uid="{00000000-0010-0000-2F00-000007000000}" name="Fornecedor"/>
    <tableColumn id="8" xr3:uid="{00000000-0010-0000-2F00-000008000000}" name="Data"/>
    <tableColumn id="9" xr3:uid="{00000000-0010-0000-2F00-000009000000}" name="Unidade"/>
    <tableColumn id="10" xr3:uid="{00000000-0010-0000-2F00-00000A000000}" name="UnidadeID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bMovEstoque" displayName="tbMovEstoque" ref="A1:J5">
  <autoFilter ref="A1:J5" xr:uid="{00000000-0009-0000-0100-000031000000}"/>
  <tableColumns count="10">
    <tableColumn id="1" xr3:uid="{00000000-0010-0000-3000-000001000000}" name="ID"/>
    <tableColumn id="2" xr3:uid="{00000000-0010-0000-3000-000002000000}" name="Data"/>
    <tableColumn id="3" xr3:uid="{00000000-0010-0000-3000-000003000000}" name="Produto"/>
    <tableColumn id="4" xr3:uid="{00000000-0010-0000-3000-000004000000}" name="Código"/>
    <tableColumn id="5" xr3:uid="{00000000-0010-0000-3000-000005000000}" name="Tipo"/>
    <tableColumn id="6" xr3:uid="{00000000-0010-0000-3000-000006000000}" name="Quantidade"/>
    <tableColumn id="7" xr3:uid="{00000000-0010-0000-3000-000007000000}" name="Usuário"/>
    <tableColumn id="8" xr3:uid="{00000000-0010-0000-3000-000008000000}" name="Obs"/>
    <tableColumn id="9" xr3:uid="{00000000-0010-0000-3000-000009000000}" name="Unidade"/>
    <tableColumn id="10" xr3:uid="{00000000-0010-0000-3000-00000A000000}" name="UnidadeID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bLotes" displayName="tbLotes" ref="A1:H4">
  <autoFilter ref="A1:H4" xr:uid="{00000000-0009-0000-0100-000032000000}"/>
  <tableColumns count="8">
    <tableColumn id="1" xr3:uid="{00000000-0010-0000-3100-000001000000}" name="ID"/>
    <tableColumn id="2" xr3:uid="{00000000-0010-0000-3100-000002000000}" name="Código"/>
    <tableColumn id="3" xr3:uid="{00000000-0010-0000-3100-000003000000}" name="Produto"/>
    <tableColumn id="4" xr3:uid="{00000000-0010-0000-3100-000004000000}" name="Lote"/>
    <tableColumn id="5" xr3:uid="{00000000-0010-0000-3100-000005000000}" name="Fabricação"/>
    <tableColumn id="6" xr3:uid="{00000000-0010-0000-3100-000006000000}" name="Validade"/>
    <tableColumn id="7" xr3:uid="{00000000-0010-0000-3100-000007000000}" name="Quantidade"/>
    <tableColumn id="8" xr3:uid="{00000000-0010-0000-3100-000008000000}" name="Status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bVendas" displayName="tbVendas" ref="A1:N3">
  <autoFilter ref="A1:N3" xr:uid="{00000000-0009-0000-0100-000033000000}"/>
  <tableColumns count="14">
    <tableColumn id="1" xr3:uid="{00000000-0010-0000-3200-000001000000}" name="ID"/>
    <tableColumn id="2" xr3:uid="{00000000-0010-0000-3200-000002000000}" name="Data"/>
    <tableColumn id="3" xr3:uid="{00000000-0010-0000-3200-000003000000}" name="Cliente"/>
    <tableColumn id="4" xr3:uid="{00000000-0010-0000-3200-000004000000}" name="Matrícula"/>
    <tableColumn id="5" xr3:uid="{00000000-0010-0000-3200-000005000000}" name="Itens"/>
    <tableColumn id="6" xr3:uid="{00000000-0010-0000-3200-000006000000}" name="Total"/>
    <tableColumn id="7" xr3:uid="{00000000-0010-0000-3200-000007000000}" name="Custo"/>
    <tableColumn id="8" xr3:uid="{00000000-0010-0000-3200-000008000000}" name="Lucro"/>
    <tableColumn id="9" xr3:uid="{00000000-0010-0000-3200-000009000000}" name="Forma"/>
    <tableColumn id="10" xr3:uid="{00000000-0010-0000-3200-00000A000000}" name="Status"/>
    <tableColumn id="11" xr3:uid="{00000000-0010-0000-3200-00000B000000}" name="Usuário"/>
    <tableColumn id="12" xr3:uid="{00000000-0010-0000-3200-00000C000000}" name="Na Mensalidade"/>
    <tableColumn id="13" xr3:uid="{00000000-0010-0000-3200-00000D000000}" name="Unidade"/>
    <tableColumn id="14" xr3:uid="{00000000-0010-0000-3200-00000E000000}" name="UnidadeID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bVendaItens" displayName="tbVendaItens" ref="A1:H3">
  <autoFilter ref="A1:H3" xr:uid="{00000000-0009-0000-0100-000034000000}"/>
  <tableColumns count="8">
    <tableColumn id="1" xr3:uid="{00000000-0010-0000-3300-000001000000}" name="ID"/>
    <tableColumn id="2" xr3:uid="{00000000-0010-0000-3300-000002000000}" name="Venda ID"/>
    <tableColumn id="3" xr3:uid="{00000000-0010-0000-3300-000003000000}" name="Código"/>
    <tableColumn id="4" xr3:uid="{00000000-0010-0000-3300-000004000000}" name="Produto"/>
    <tableColumn id="5" xr3:uid="{00000000-0010-0000-3300-000005000000}" name="Qtde"/>
    <tableColumn id="6" xr3:uid="{00000000-0010-0000-3300-000006000000}" name="Preço"/>
    <tableColumn id="7" xr3:uid="{00000000-0010-0000-3300-000007000000}" name="Subtotal"/>
    <tableColumn id="8" xr3:uid="{00000000-0010-0000-3300-000008000000}" name="Custo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bKits" displayName="tbKits" ref="A1:D2">
  <autoFilter ref="A1:D2" xr:uid="{00000000-0009-0000-0100-000035000000}"/>
  <tableColumns count="4">
    <tableColumn id="1" xr3:uid="{00000000-0010-0000-3400-000001000000}" name="Código"/>
    <tableColumn id="2" xr3:uid="{00000000-0010-0000-3400-000002000000}" name="Kit"/>
    <tableColumn id="3" xr3:uid="{00000000-0010-0000-3400-000003000000}" name="Preço"/>
    <tableColumn id="4" xr3:uid="{00000000-0010-0000-3400-000004000000}" name="Status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bKitItens" displayName="tbKitItens" ref="A1:D4">
  <autoFilter ref="A1:D4" xr:uid="{00000000-0009-0000-0100-000036000000}"/>
  <tableColumns count="4">
    <tableColumn id="1" xr3:uid="{00000000-0010-0000-3500-000001000000}" name="Kit Código"/>
    <tableColumn id="2" xr3:uid="{00000000-0010-0000-3500-000002000000}" name="Produto Código"/>
    <tableColumn id="3" xr3:uid="{00000000-0010-0000-3500-000003000000}" name="Produto"/>
    <tableColumn id="4" xr3:uid="{00000000-0010-0000-3500-000004000000}" name="Qtde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bIndicadores" displayName="tbIndicadores" ref="A1:G11">
  <autoFilter ref="A1:G11" xr:uid="{00000000-0009-0000-0100-000037000000}"/>
  <tableColumns count="7">
    <tableColumn id="1" xr3:uid="{00000000-0010-0000-3600-000001000000}" name="Indicador"/>
    <tableColumn id="2" xr3:uid="{00000000-0010-0000-3600-000002000000}" name="Valor Atual"/>
    <tableColumn id="3" xr3:uid="{00000000-0010-0000-3600-000003000000}" name="Meta"/>
    <tableColumn id="4" xr3:uid="{00000000-0010-0000-3600-000004000000}" name="Tendência"/>
    <tableColumn id="5" xr3:uid="{00000000-0010-0000-3600-000005000000}" name="Variação"/>
    <tableColumn id="6" xr3:uid="{00000000-0010-0000-3600-000006000000}" name="Última Atualização"/>
    <tableColumn id="7" xr3:uid="{00000000-0010-0000-3600-000007000000}" name="Área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bInsights" displayName="tbInsights" ref="A1:F4">
  <autoFilter ref="A1:F4" xr:uid="{00000000-0009-0000-0100-000038000000}"/>
  <tableColumns count="6">
    <tableColumn id="1" xr3:uid="{00000000-0010-0000-3700-000001000000}" name="ID"/>
    <tableColumn id="2" xr3:uid="{00000000-0010-0000-3700-000002000000}" name="Data"/>
    <tableColumn id="3" xr3:uid="{00000000-0010-0000-3700-000003000000}" name="Tipo"/>
    <tableColumn id="4" xr3:uid="{00000000-0010-0000-3700-000004000000}" name="Mensagem"/>
    <tableColumn id="5" xr3:uid="{00000000-0010-0000-3700-000005000000}" name="Prioridade"/>
    <tableColumn id="6" xr3:uid="{00000000-0010-0000-3700-000006000000}" name="Módulo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bPrevisoes" displayName="tbPrevisoes" ref="A1:E6">
  <autoFilter ref="A1:E6" xr:uid="{00000000-0009-0000-0100-000039000000}"/>
  <tableColumns count="5">
    <tableColumn id="1" xr3:uid="{00000000-0010-0000-3800-000001000000}" name="Tipo"/>
    <tableColumn id="2" xr3:uid="{00000000-0010-0000-3800-000002000000}" name="Horizonte"/>
    <tableColumn id="3" xr3:uid="{00000000-0010-0000-3800-000003000000}" name="Valor"/>
    <tableColumn id="4" xr3:uid="{00000000-0010-0000-3800-000004000000}" name="Base"/>
    <tableColumn id="5" xr3:uid="{00000000-0010-0000-3800-000005000000}" name="Atualizado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bRiscoRetencao" displayName="tbRiscoRetencao" ref="A1:J2">
  <autoFilter ref="A1:J2" xr:uid="{00000000-0009-0000-0100-00003A000000}"/>
  <tableColumns count="10">
    <tableColumn id="1" xr3:uid="{00000000-0010-0000-3900-000001000000}" name="Matrícula"/>
    <tableColumn id="2" xr3:uid="{00000000-0010-0000-3900-000002000000}" name="Aluno"/>
    <tableColumn id="3" xr3:uid="{00000000-0010-0000-3900-000003000000}" name="Score"/>
    <tableColumn id="4" xr3:uid="{00000000-0010-0000-3900-000004000000}" name="Classificação"/>
    <tableColumn id="5" xr3:uid="{00000000-0010-0000-3900-000005000000}" name="Frequência"/>
    <tableColumn id="6" xr3:uid="{00000000-0010-0000-3900-000006000000}" name="Mensalidade"/>
    <tableColumn id="7" xr3:uid="{00000000-0010-0000-3900-000007000000}" name="Dias sem acesso"/>
    <tableColumn id="8" xr3:uid="{00000000-0010-0000-3900-000008000000}" name="Avaliação"/>
    <tableColumn id="9" xr3:uid="{00000000-0010-0000-3900-000009000000}" name="Plano vence"/>
    <tableColumn id="10" xr3:uid="{00000000-0010-0000-3900-00000A000000}" name="Recomendação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tbChat" displayName="tbChat" ref="A1:H4">
  <autoFilter ref="A1:H4" xr:uid="{00000000-0009-0000-0100-00003B000000}"/>
  <tableColumns count="8">
    <tableColumn id="1" xr3:uid="{00000000-0010-0000-3A00-000001000000}" name="ID"/>
    <tableColumn id="2" xr3:uid="{00000000-0010-0000-3A00-000002000000}" name="De"/>
    <tableColumn id="3" xr3:uid="{00000000-0010-0000-3A00-000003000000}" name="Para"/>
    <tableColumn id="4" xr3:uid="{00000000-0010-0000-3A00-000004000000}" name="Matrícula"/>
    <tableColumn id="5" xr3:uid="{00000000-0010-0000-3A00-000005000000}" name="Mensagem"/>
    <tableColumn id="6" xr3:uid="{00000000-0010-0000-3A00-000006000000}" name="Data"/>
    <tableColumn id="7" xr3:uid="{00000000-0010-0000-3A00-000007000000}" name="Hora"/>
    <tableColumn id="8" xr3:uid="{00000000-0010-0000-3A00-000008000000}" name="Lida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tbMetasAluno" displayName="tbMetasAluno" ref="A1:H3">
  <autoFilter ref="A1:H3" xr:uid="{00000000-0009-0000-0100-00003C000000}"/>
  <tableColumns count="8">
    <tableColumn id="1" xr3:uid="{00000000-0010-0000-3B00-000001000000}" name="ID"/>
    <tableColumn id="2" xr3:uid="{00000000-0010-0000-3B00-000002000000}" name="Matrícula"/>
    <tableColumn id="3" xr3:uid="{00000000-0010-0000-3B00-000003000000}" name="Aluno"/>
    <tableColumn id="4" xr3:uid="{00000000-0010-0000-3B00-000004000000}" name="Objetivo"/>
    <tableColumn id="5" xr3:uid="{00000000-0010-0000-3B00-000005000000}" name="Meta"/>
    <tableColumn id="6" xr3:uid="{00000000-0010-0000-3B00-000006000000}" name="Atual"/>
    <tableColumn id="7" xr3:uid="{00000000-0010-0000-3B00-000007000000}" name="Progresso"/>
    <tableColumn id="8" xr3:uid="{00000000-0010-0000-3B00-000008000000}" name="Unidade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C000000}" name="tbPortalTokens" displayName="tbPortalTokens" ref="A1:F3">
  <autoFilter ref="A1:F3" xr:uid="{00000000-0009-0000-0100-00003D000000}"/>
  <tableColumns count="6">
    <tableColumn id="1" xr3:uid="{00000000-0010-0000-3C00-000001000000}" name="Usuário"/>
    <tableColumn id="2" xr3:uid="{00000000-0010-0000-3C00-000002000000}" name="Token"/>
    <tableColumn id="3" xr3:uid="{00000000-0010-0000-3C00-000003000000}" name="Perfil"/>
    <tableColumn id="4" xr3:uid="{00000000-0010-0000-3C00-000004000000}" name="Matrícula"/>
    <tableColumn id="5" xr3:uid="{00000000-0010-0000-3C00-000005000000}" name="Expira"/>
    <tableColumn id="6" xr3:uid="{00000000-0010-0000-3C00-000006000000}" name="Dispositivo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D000000}" name="tbDesafios" displayName="tbDesafios" ref="A1:G4">
  <autoFilter ref="A1:G4" xr:uid="{00000000-0009-0000-0100-00003E000000}"/>
  <tableColumns count="7">
    <tableColumn id="1" xr3:uid="{00000000-0010-0000-3D00-000001000000}" name="ID"/>
    <tableColumn id="2" xr3:uid="{00000000-0010-0000-3D00-000002000000}" name="Matrícula"/>
    <tableColumn id="3" xr3:uid="{00000000-0010-0000-3D00-000003000000}" name="Desafio"/>
    <tableColumn id="4" xr3:uid="{00000000-0010-0000-3D00-000004000000}" name="Meta"/>
    <tableColumn id="5" xr3:uid="{00000000-0010-0000-3D00-000005000000}" name="Atual"/>
    <tableColumn id="6" xr3:uid="{00000000-0010-0000-3D00-000006000000}" name="Progresso"/>
    <tableColumn id="7" xr3:uid="{00000000-0010-0000-3D00-000007000000}" name="Conquista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E000000}" name="tbPush" displayName="tbPush" ref="A1:H4">
  <autoFilter ref="A1:H4" xr:uid="{00000000-0009-0000-0100-00003F000000}"/>
  <tableColumns count="8">
    <tableColumn id="1" xr3:uid="{00000000-0010-0000-3E00-000001000000}" name="ID"/>
    <tableColumn id="2" xr3:uid="{00000000-0010-0000-3E00-000002000000}" name="Usuário"/>
    <tableColumn id="3" xr3:uid="{00000000-0010-0000-3E00-000003000000}" name="Matrícula"/>
    <tableColumn id="4" xr3:uid="{00000000-0010-0000-3E00-000004000000}" name="Mensagem"/>
    <tableColumn id="5" xr3:uid="{00000000-0010-0000-3E00-000005000000}" name="Data"/>
    <tableColumn id="6" xr3:uid="{00000000-0010-0000-3E00-000006000000}" name="Hora"/>
    <tableColumn id="7" xr3:uid="{00000000-0010-0000-3E00-000007000000}" name="Lida"/>
    <tableColumn id="8" xr3:uid="{00000000-0010-0000-3E00-000008000000}" name="Tipo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F000000}" name="tbRecomendacoes" displayName="tbRecomendacoes" ref="A1:H6">
  <autoFilter ref="A1:H6" xr:uid="{00000000-0009-0000-0100-000040000000}"/>
  <tableColumns count="8">
    <tableColumn id="1" xr3:uid="{00000000-0010-0000-3F00-000001000000}" name="ID"/>
    <tableColumn id="2" xr3:uid="{00000000-0010-0000-3F00-000002000000}" name="Tipo"/>
    <tableColumn id="3" xr3:uid="{00000000-0010-0000-3F00-000003000000}" name="Descrição"/>
    <tableColumn id="4" xr3:uid="{00000000-0010-0000-3F00-000004000000}" name="Responsável"/>
    <tableColumn id="5" xr3:uid="{00000000-0010-0000-3F00-000005000000}" name="Situação"/>
    <tableColumn id="6" xr3:uid="{00000000-0010-0000-3F00-000006000000}" name="Prioridade"/>
    <tableColumn id="7" xr3:uid="{00000000-0010-0000-3F00-000007000000}" name="Categoria"/>
    <tableColumn id="8" xr3:uid="{00000000-0010-0000-3F00-000008000000}" name="Data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40000000}" name="tbAthenaChat" displayName="tbAthenaChat" ref="A1:G2">
  <autoFilter ref="A1:G2" xr:uid="{00000000-0009-0000-0100-000041000000}"/>
  <tableColumns count="7">
    <tableColumn id="1" xr3:uid="{00000000-0010-0000-4000-000001000000}" name="ID"/>
    <tableColumn id="2" xr3:uid="{00000000-0010-0000-4000-000002000000}" name="Data"/>
    <tableColumn id="3" xr3:uid="{00000000-0010-0000-4000-000003000000}" name="Hora"/>
    <tableColumn id="4" xr3:uid="{00000000-0010-0000-4000-000004000000}" name="Pergunta"/>
    <tableColumn id="5" xr3:uid="{00000000-0010-0000-4000-000005000000}" name="Resposta"/>
    <tableColumn id="6" xr3:uid="{00000000-0010-0000-4000-000006000000}" name="Usuário"/>
    <tableColumn id="7" xr3:uid="{00000000-0010-0000-4000-000007000000}" name="Módulo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41000000}" name="tbEmpresas" displayName="tbEmpresas" ref="A1:Z5">
  <autoFilter ref="A1:Z5" xr:uid="{00000000-0009-0000-0100-000042000000}"/>
  <tableColumns count="26">
    <tableColumn id="1" xr3:uid="{00000000-0010-0000-4100-000001000000}" name="EmpresaID"/>
    <tableColumn id="2" xr3:uid="{00000000-0010-0000-4100-000002000000}" name="Razão Social"/>
    <tableColumn id="3" xr3:uid="{00000000-0010-0000-4100-000003000000}" name="Nome Fantasia"/>
    <tableColumn id="4" xr3:uid="{00000000-0010-0000-4100-000004000000}" name="CNPJ"/>
    <tableColumn id="5" xr3:uid="{00000000-0010-0000-4100-000005000000}" name="Inscrição Estadual"/>
    <tableColumn id="6" xr3:uid="{00000000-0010-0000-4100-000006000000}" name="Telefone"/>
    <tableColumn id="7" xr3:uid="{00000000-0010-0000-4100-000007000000}" name="WhatsApp"/>
    <tableColumn id="8" xr3:uid="{00000000-0010-0000-4100-000008000000}" name="Email"/>
    <tableColumn id="9" xr3:uid="{00000000-0010-0000-4100-000009000000}" name="Site"/>
    <tableColumn id="10" xr3:uid="{00000000-0010-0000-4100-00000A000000}" name="CEP"/>
    <tableColumn id="11" xr3:uid="{00000000-0010-0000-4100-00000B000000}" name="Endereço"/>
    <tableColumn id="12" xr3:uid="{00000000-0010-0000-4100-00000C000000}" name="Número"/>
    <tableColumn id="13" xr3:uid="{00000000-0010-0000-4100-00000D000000}" name="Complemento"/>
    <tableColumn id="14" xr3:uid="{00000000-0010-0000-4100-00000E000000}" name="Bairro"/>
    <tableColumn id="15" xr3:uid="{00000000-0010-0000-4100-00000F000000}" name="Cidade"/>
    <tableColumn id="16" xr3:uid="{00000000-0010-0000-4100-000010000000}" name="Estado"/>
    <tableColumn id="17" xr3:uid="{00000000-0010-0000-4100-000011000000}" name="País"/>
    <tableColumn id="18" xr3:uid="{00000000-0010-0000-4100-000012000000}" name="Logo"/>
    <tableColumn id="19" xr3:uid="{00000000-0010-0000-4100-000013000000}" name="Cor Primária"/>
    <tableColumn id="20" xr3:uid="{00000000-0010-0000-4100-000014000000}" name="Cor Secundária"/>
    <tableColumn id="21" xr3:uid="{00000000-0010-0000-4100-000015000000}" name="Plano"/>
    <tableColumn id="22" xr3:uid="{00000000-0010-0000-4100-000016000000}" name="Status"/>
    <tableColumn id="23" xr3:uid="{00000000-0010-0000-4100-000017000000}" name="Data Cadastro"/>
    <tableColumn id="24" xr3:uid="{00000000-0010-0000-4100-000018000000}" name="Data Expiração"/>
    <tableColumn id="25" xr3:uid="{00000000-0010-0000-4100-000019000000}" name="FranqueadoraID"/>
    <tableColumn id="26" xr3:uid="{00000000-0010-0000-4100-00001A000000}" name="FranqueadoID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2000000}" name="tbLicencas" displayName="tbLicencas" ref="A1:G4">
  <autoFilter ref="A1:G4" xr:uid="{00000000-0009-0000-0100-000043000000}"/>
  <tableColumns count="7">
    <tableColumn id="1" xr3:uid="{00000000-0010-0000-4200-000001000000}" name="ID"/>
    <tableColumn id="2" xr3:uid="{00000000-0010-0000-4200-000002000000}" name="EmpresaID"/>
    <tableColumn id="3" xr3:uid="{00000000-0010-0000-4200-000003000000}" name="Chave"/>
    <tableColumn id="4" xr3:uid="{00000000-0010-0000-4200-000004000000}" name="Plano"/>
    <tableColumn id="5" xr3:uid="{00000000-0010-0000-4200-000005000000}" name="Ativação"/>
    <tableColumn id="6" xr3:uid="{00000000-0010-0000-4200-000006000000}" name="Expiração"/>
    <tableColumn id="7" xr3:uid="{00000000-0010-0000-4200-000007000000}" name="Status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3000000}" name="tbConfigEmpresa" displayName="tbConfigEmpresa" ref="A1:D7">
  <autoFilter ref="A1:D7" xr:uid="{00000000-0009-0000-0100-000044000000}"/>
  <tableColumns count="4">
    <tableColumn id="1" xr3:uid="{00000000-0010-0000-4300-000001000000}" name="ID"/>
    <tableColumn id="2" xr3:uid="{00000000-0010-0000-4300-000002000000}" name="EmpresaID"/>
    <tableColumn id="3" xr3:uid="{00000000-0010-0000-4300-000003000000}" name="Chave"/>
    <tableColumn id="4" xr3:uid="{00000000-0010-0000-4300-000004000000}" name="Valor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4000000}" name="tbFranqueadoras" displayName="tbFranqueadoras" ref="A1:I2">
  <autoFilter ref="A1:I2" xr:uid="{00000000-0009-0000-0100-000045000000}"/>
  <tableColumns count="9">
    <tableColumn id="1" xr3:uid="{00000000-0010-0000-4400-000001000000}" name="FranqueadoraID"/>
    <tableColumn id="2" xr3:uid="{00000000-0010-0000-4400-000002000000}" name="Nome"/>
    <tableColumn id="3" xr3:uid="{00000000-0010-0000-4400-000003000000}" name="CNPJ"/>
    <tableColumn id="4" xr3:uid="{00000000-0010-0000-4400-000004000000}" name="Razão Social"/>
    <tableColumn id="5" xr3:uid="{00000000-0010-0000-4400-000005000000}" name="CEO"/>
    <tableColumn id="6" xr3:uid="{00000000-0010-0000-4400-000006000000}" name="E-mail"/>
    <tableColumn id="7" xr3:uid="{00000000-0010-0000-4400-000007000000}" name="Telefone"/>
    <tableColumn id="8" xr3:uid="{00000000-0010-0000-4400-000008000000}" name="Site"/>
    <tableColumn id="9" xr3:uid="{00000000-0010-0000-4400-000009000000}" name="Status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5000000}" name="tbFranqueados" displayName="tbFranqueados" ref="A1:K4">
  <autoFilter ref="A1:K4" xr:uid="{00000000-0009-0000-0100-000046000000}"/>
  <tableColumns count="11">
    <tableColumn id="1" xr3:uid="{00000000-0010-0000-4500-000001000000}" name="FranqueadoID"/>
    <tableColumn id="2" xr3:uid="{00000000-0010-0000-4500-000002000000}" name="FranqueadoraID"/>
    <tableColumn id="3" xr3:uid="{00000000-0010-0000-4500-000003000000}" name="EmpresaID"/>
    <tableColumn id="4" xr3:uid="{00000000-0010-0000-4500-000004000000}" name="Nome"/>
    <tableColumn id="5" xr3:uid="{00000000-0010-0000-4500-000005000000}" name="CPF/CNPJ"/>
    <tableColumn id="6" xr3:uid="{00000000-0010-0000-4500-000006000000}" name="Cidade"/>
    <tableColumn id="7" xr3:uid="{00000000-0010-0000-4500-000007000000}" name="Estado"/>
    <tableColumn id="8" xr3:uid="{00000000-0010-0000-4500-000008000000}" name="Contrato"/>
    <tableColumn id="9" xr3:uid="{00000000-0010-0000-4500-000009000000}" name="Data Início"/>
    <tableColumn id="10" xr3:uid="{00000000-0010-0000-4500-00000A000000}" name="Data Fim"/>
    <tableColumn id="11" xr3:uid="{00000000-0010-0000-4500-00000B000000}" name="Status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6000000}" name="tbContratosFranquia" displayName="tbContratosFranquia" ref="A1:J4">
  <autoFilter ref="A1:J4" xr:uid="{00000000-0009-0000-0100-000047000000}"/>
  <tableColumns count="10">
    <tableColumn id="1" xr3:uid="{00000000-0010-0000-4600-000001000000}" name="ID"/>
    <tableColumn id="2" xr3:uid="{00000000-0010-0000-4600-000002000000}" name="Número"/>
    <tableColumn id="3" xr3:uid="{00000000-0010-0000-4600-000003000000}" name="FranqueadoID"/>
    <tableColumn id="4" xr3:uid="{00000000-0010-0000-4600-000004000000}" name="Franqueado"/>
    <tableColumn id="5" xr3:uid="{00000000-0010-0000-4600-000005000000}" name="Vigência Início"/>
    <tableColumn id="6" xr3:uid="{00000000-0010-0000-4600-000006000000}" name="Vigência Fim"/>
    <tableColumn id="7" xr3:uid="{00000000-0010-0000-4600-000007000000}" name="Taxa Inicial"/>
    <tableColumn id="8" xr3:uid="{00000000-0010-0000-4600-000008000000}" name="Royalty %"/>
    <tableColumn id="9" xr3:uid="{00000000-0010-0000-4600-000009000000}" name="Fundo Marketing %"/>
    <tableColumn id="10" xr3:uid="{00000000-0010-0000-4600-00000A000000}" name="Status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7000000}" name="tbRoyalties" displayName="tbRoyalties" ref="A1:J4">
  <autoFilter ref="A1:J4" xr:uid="{00000000-0009-0000-0100-000048000000}"/>
  <tableColumns count="10">
    <tableColumn id="1" xr3:uid="{00000000-0010-0000-4700-000001000000}" name="RoyaltyID"/>
    <tableColumn id="2" xr3:uid="{00000000-0010-0000-4700-000002000000}" name="FranqueadoID"/>
    <tableColumn id="3" xr3:uid="{00000000-0010-0000-4700-000003000000}" name="Franqueado"/>
    <tableColumn id="4" xr3:uid="{00000000-0010-0000-4700-000004000000}" name="Competência"/>
    <tableColumn id="5" xr3:uid="{00000000-0010-0000-4700-000005000000}" name="Receita Base"/>
    <tableColumn id="6" xr3:uid="{00000000-0010-0000-4700-000006000000}" name="Percentual"/>
    <tableColumn id="7" xr3:uid="{00000000-0010-0000-4700-000007000000}" name="Valor Royalty"/>
    <tableColumn id="8" xr3:uid="{00000000-0010-0000-4700-000008000000}" name="PercentualMarketing"/>
    <tableColumn id="9" xr3:uid="{00000000-0010-0000-4700-000009000000}" name="ValorMarketing"/>
    <tableColumn id="10" xr3:uid="{00000000-0010-0000-4700-00000A000000}" name="Status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8000000}" name="tbSerieMensal" displayName="tbSerieMensal" ref="A25:E31">
  <autoFilter ref="A25:E31" xr:uid="{00000000-0009-0000-0100-000049000000}"/>
  <tableColumns count="5">
    <tableColumn id="1" xr3:uid="{00000000-0010-0000-4800-000001000000}" name="Mês"/>
    <tableColumn id="2" xr3:uid="{00000000-0010-0000-4800-000002000000}" name="Receita"/>
    <tableColumn id="3" xr3:uid="{00000000-0010-0000-4800-000003000000}" name="Despesa"/>
    <tableColumn id="4" xr3:uid="{00000000-0010-0000-4800-000004000000}" name="Lucro"/>
    <tableColumn id="5" xr3:uid="{00000000-0010-0000-4800-000005000000}" name="Alunos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9000000}" name="tbVersao" displayName="tbVersao" ref="A1:C18">
  <autoFilter ref="A1:C18" xr:uid="{00000000-0009-0000-0100-00004A000000}"/>
  <tableColumns count="3">
    <tableColumn id="1" xr3:uid="{00000000-0010-0000-4900-000001000000}" name="Versão"/>
    <tableColumn id="2" xr3:uid="{00000000-0010-0000-4900-000002000000}" name="Data"/>
    <tableColumn id="3" xr3:uid="{00000000-0010-0000-4900-000003000000}" name="Alterações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A000000}" name="tbLog" displayName="tbLog" ref="A1:I2">
  <autoFilter ref="A1:I2" xr:uid="{00000000-0009-0000-0100-00004B000000}"/>
  <tableColumns count="9">
    <tableColumn id="1" xr3:uid="{00000000-0010-0000-4A00-000001000000}" name="Data"/>
    <tableColumn id="2" xr3:uid="{00000000-0010-0000-4A00-000002000000}" name="Hora"/>
    <tableColumn id="3" xr3:uid="{00000000-0010-0000-4A00-000003000000}" name="Usuário"/>
    <tableColumn id="4" xr3:uid="{00000000-0010-0000-4A00-000004000000}" name="Perfil"/>
    <tableColumn id="5" xr3:uid="{00000000-0010-0000-4A00-000005000000}" name="Módulo"/>
    <tableColumn id="6" xr3:uid="{00000000-0010-0000-4A00-000006000000}" name="Ação"/>
    <tableColumn id="7" xr3:uid="{00000000-0010-0000-4A00-000007000000}" name="Registro"/>
    <tableColumn id="8" xr3:uid="{00000000-0010-0000-4A00-000008000000}" name="Computador"/>
    <tableColumn id="9" xr3:uid="{00000000-0010-0000-4A00-000009000000}" name="Vers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A3001E"/>
  </sheetPr>
  <dimension ref="A1:L36"/>
  <sheetViews>
    <sheetView showGridLines="0" showRowColHeaders="0" tabSelected="1" workbookViewId="0"/>
  </sheetViews>
  <sheetFormatPr defaultRowHeight="14.4"/>
  <cols>
    <col min="1" max="1" width="5" customWidth="1"/>
    <col min="2" max="11" width="11" customWidth="1"/>
    <col min="12" max="12" width="5" customWidth="1"/>
  </cols>
  <sheetData>
    <row r="1" spans="1:12">
      <c r="A1" s="1"/>
      <c r="B1" s="2"/>
      <c r="C1" s="1"/>
      <c r="D1" s="2"/>
      <c r="E1" s="1"/>
      <c r="F1" s="2"/>
      <c r="G1" s="1"/>
      <c r="H1" s="2"/>
      <c r="I1" s="1"/>
      <c r="J1" s="2"/>
      <c r="K1" s="1"/>
      <c r="L1" s="2"/>
    </row>
    <row r="2" spans="1:12">
      <c r="A2" s="1"/>
      <c r="B2" s="2"/>
      <c r="C2" s="1"/>
      <c r="D2" s="2"/>
      <c r="E2" s="1"/>
      <c r="F2" s="2"/>
      <c r="G2" s="1"/>
      <c r="H2" s="2"/>
      <c r="I2" s="1"/>
      <c r="J2" s="2"/>
      <c r="K2" s="1"/>
      <c r="L2" s="2"/>
    </row>
    <row r="3" spans="1:12">
      <c r="A3" s="1"/>
      <c r="B3" s="2"/>
      <c r="C3" s="3"/>
      <c r="D3" s="3"/>
      <c r="E3" s="3"/>
      <c r="F3" s="3"/>
      <c r="G3" s="3"/>
      <c r="H3" s="3"/>
      <c r="I3" s="3"/>
      <c r="J3" s="3"/>
      <c r="K3" s="1"/>
      <c r="L3" s="2"/>
    </row>
    <row r="4" spans="1:12" ht="48" customHeight="1">
      <c r="A4" s="1"/>
      <c r="B4" s="2"/>
      <c r="C4" s="86" t="s">
        <v>0</v>
      </c>
      <c r="D4" s="87"/>
      <c r="E4" s="87"/>
      <c r="F4" s="87"/>
      <c r="G4" s="87"/>
      <c r="H4" s="87"/>
      <c r="I4" s="87"/>
      <c r="J4" s="87"/>
      <c r="K4" s="1"/>
      <c r="L4" s="2"/>
    </row>
    <row r="5" spans="1:12" ht="4.05" customHeight="1">
      <c r="A5" s="1"/>
      <c r="B5" s="2"/>
      <c r="C5" s="4"/>
      <c r="D5" s="4"/>
      <c r="E5" s="4"/>
      <c r="F5" s="4"/>
      <c r="G5" s="4"/>
      <c r="H5" s="4"/>
      <c r="I5" s="4"/>
      <c r="J5" s="4"/>
      <c r="K5" s="1"/>
      <c r="L5" s="2"/>
    </row>
    <row r="6" spans="1:12">
      <c r="A6" s="1"/>
      <c r="B6" s="2"/>
      <c r="C6" s="3"/>
      <c r="D6" s="3"/>
      <c r="E6" s="3"/>
      <c r="F6" s="3"/>
      <c r="G6" s="3"/>
      <c r="H6" s="3"/>
      <c r="I6" s="3"/>
      <c r="J6" s="3"/>
      <c r="K6" s="1"/>
      <c r="L6" s="2"/>
    </row>
    <row r="7" spans="1:12" ht="10.050000000000001" customHeight="1">
      <c r="A7" s="1"/>
      <c r="B7" s="2"/>
      <c r="C7" s="3"/>
      <c r="D7" s="3"/>
      <c r="E7" s="3"/>
      <c r="F7" s="3"/>
      <c r="G7" s="3"/>
      <c r="H7" s="3"/>
      <c r="I7" s="3"/>
      <c r="J7" s="3"/>
      <c r="K7" s="1"/>
      <c r="L7" s="2"/>
    </row>
    <row r="8" spans="1:12" ht="19.95" customHeight="1">
      <c r="A8" s="1"/>
      <c r="B8" s="2"/>
      <c r="C8" s="3"/>
      <c r="D8" s="3"/>
      <c r="E8" s="3"/>
      <c r="F8" s="3"/>
      <c r="G8" s="3"/>
      <c r="H8" s="3"/>
      <c r="I8" s="3"/>
      <c r="J8" s="3"/>
      <c r="K8" s="1"/>
      <c r="L8" s="2"/>
    </row>
    <row r="9" spans="1:12" ht="19.9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1"/>
      <c r="L9" s="2"/>
    </row>
    <row r="10" spans="1:12" ht="19.9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1"/>
      <c r="L10" s="2"/>
    </row>
    <row r="11" spans="1:12">
      <c r="A11" s="1"/>
      <c r="B11" s="2"/>
      <c r="C11" s="3"/>
      <c r="D11" s="3"/>
      <c r="E11" s="3"/>
      <c r="F11" s="3"/>
      <c r="G11" s="3"/>
      <c r="H11" s="3"/>
      <c r="I11" s="3"/>
      <c r="J11" s="3"/>
      <c r="K11" s="1"/>
      <c r="L11" s="2"/>
    </row>
    <row r="12" spans="1:12">
      <c r="A12" s="1"/>
      <c r="B12" s="2"/>
      <c r="C12" s="3"/>
      <c r="D12" s="3"/>
      <c r="E12" s="3"/>
      <c r="F12" s="3"/>
      <c r="G12" s="3"/>
      <c r="H12" s="3"/>
      <c r="I12" s="3"/>
      <c r="J12" s="3"/>
      <c r="K12" s="1"/>
      <c r="L12" s="2"/>
    </row>
    <row r="13" spans="1:12">
      <c r="A13" s="1"/>
      <c r="B13" s="2"/>
      <c r="C13" s="3"/>
      <c r="D13" s="3"/>
      <c r="E13" s="3"/>
      <c r="F13" s="3"/>
      <c r="G13" s="3"/>
      <c r="H13" s="3"/>
      <c r="I13" s="3"/>
      <c r="J13" s="3"/>
      <c r="K13" s="1"/>
      <c r="L13" s="2"/>
    </row>
    <row r="14" spans="1:12">
      <c r="A14" s="1"/>
      <c r="B14" s="2"/>
      <c r="C14" s="90" t="s">
        <v>1</v>
      </c>
      <c r="D14" s="87"/>
      <c r="E14" s="87"/>
      <c r="F14" s="87"/>
      <c r="G14" s="87"/>
      <c r="H14" s="87"/>
      <c r="I14" s="87"/>
      <c r="J14" s="87"/>
      <c r="K14" s="1"/>
      <c r="L14" s="2"/>
    </row>
    <row r="15" spans="1:12">
      <c r="A15" s="1"/>
      <c r="B15" s="2"/>
      <c r="C15" s="3"/>
      <c r="D15" s="3"/>
      <c r="E15" s="3"/>
      <c r="F15" s="3"/>
      <c r="G15" s="3"/>
      <c r="H15" s="3"/>
      <c r="I15" s="3"/>
      <c r="J15" s="3"/>
      <c r="K15" s="1"/>
      <c r="L15" s="2"/>
    </row>
    <row r="16" spans="1:12">
      <c r="A16" s="1"/>
      <c r="B16" s="2"/>
      <c r="C16" s="3"/>
      <c r="D16" s="92" t="s">
        <v>2</v>
      </c>
      <c r="E16" s="87"/>
      <c r="F16" s="87"/>
      <c r="G16" s="87"/>
      <c r="H16" s="87"/>
      <c r="I16" s="87"/>
      <c r="J16" s="3"/>
      <c r="K16" s="1"/>
      <c r="L16" s="2"/>
    </row>
    <row r="17" spans="1:12">
      <c r="A17" s="1"/>
      <c r="B17" s="2"/>
      <c r="C17" s="3"/>
      <c r="D17" s="3"/>
      <c r="E17" s="3"/>
      <c r="F17" s="3"/>
      <c r="G17" s="3"/>
      <c r="H17" s="3"/>
      <c r="I17" s="3"/>
      <c r="J17" s="3"/>
      <c r="K17" s="1"/>
      <c r="L17" s="2"/>
    </row>
    <row r="18" spans="1:12">
      <c r="A18" s="1"/>
      <c r="B18" s="2"/>
      <c r="C18" s="3"/>
      <c r="D18" s="89" t="s">
        <v>3</v>
      </c>
      <c r="E18" s="87"/>
      <c r="F18" s="87"/>
      <c r="G18" s="87"/>
      <c r="H18" s="87"/>
      <c r="I18" s="87"/>
      <c r="J18" s="3"/>
      <c r="K18" s="1"/>
      <c r="L18" s="2"/>
    </row>
    <row r="19" spans="1:12">
      <c r="A19" s="1"/>
      <c r="B19" s="2"/>
      <c r="C19" s="3"/>
      <c r="D19" s="3"/>
      <c r="E19" s="3"/>
      <c r="F19" s="3"/>
      <c r="G19" s="3"/>
      <c r="H19" s="3"/>
      <c r="I19" s="3"/>
      <c r="J19" s="3"/>
      <c r="K19" s="1"/>
      <c r="L19" s="2"/>
    </row>
    <row r="20" spans="1:12">
      <c r="A20" s="1"/>
      <c r="B20" s="2"/>
      <c r="C20" s="3"/>
      <c r="D20" s="91" t="s">
        <v>4</v>
      </c>
      <c r="E20" s="87"/>
      <c r="F20" s="87"/>
      <c r="G20" s="87"/>
      <c r="H20" s="87"/>
      <c r="I20" s="87"/>
      <c r="J20" s="3"/>
      <c r="K20" s="1"/>
      <c r="L20" s="2"/>
    </row>
    <row r="21" spans="1:12">
      <c r="A21" s="1"/>
      <c r="B21" s="2"/>
      <c r="C21" s="3"/>
      <c r="D21" s="93" t="s">
        <v>5</v>
      </c>
      <c r="E21" s="87"/>
      <c r="F21" s="87"/>
      <c r="G21" s="87"/>
      <c r="H21" s="87"/>
      <c r="I21" s="87"/>
      <c r="J21" s="3"/>
      <c r="K21" s="1"/>
      <c r="L21" s="2"/>
    </row>
    <row r="22" spans="1:12">
      <c r="A22" s="1"/>
      <c r="B22" s="2"/>
      <c r="C22" s="3"/>
      <c r="D22" s="3"/>
      <c r="E22" s="3"/>
      <c r="F22" s="3"/>
      <c r="G22" s="3"/>
      <c r="H22" s="3"/>
      <c r="I22" s="3"/>
      <c r="J22" s="3"/>
      <c r="K22" s="1"/>
      <c r="L22" s="2"/>
    </row>
    <row r="23" spans="1:12">
      <c r="A23" s="1"/>
      <c r="B23" s="2"/>
      <c r="C23" s="3"/>
      <c r="D23" s="3"/>
      <c r="E23" s="3"/>
      <c r="F23" s="3"/>
      <c r="G23" s="3"/>
      <c r="H23" s="3"/>
      <c r="I23" s="3"/>
      <c r="J23" s="3"/>
      <c r="K23" s="1"/>
      <c r="L23" s="2"/>
    </row>
    <row r="24" spans="1:12" ht="42" customHeight="1">
      <c r="A24" s="1"/>
      <c r="B24" s="2"/>
      <c r="C24" s="3"/>
      <c r="D24" s="3"/>
      <c r="E24" s="3"/>
      <c r="F24" s="3"/>
      <c r="G24" s="3"/>
      <c r="H24" s="3"/>
      <c r="I24" s="3"/>
      <c r="J24" s="3"/>
      <c r="K24" s="1"/>
      <c r="L24" s="2"/>
    </row>
    <row r="25" spans="1:12">
      <c r="A25" s="1"/>
      <c r="B25" s="2"/>
      <c r="C25" s="3"/>
      <c r="D25" s="3"/>
      <c r="E25" s="3"/>
      <c r="F25" s="3"/>
      <c r="G25" s="3"/>
      <c r="H25" s="3"/>
      <c r="I25" s="3"/>
      <c r="J25" s="3"/>
      <c r="K25" s="1"/>
      <c r="L25" s="2"/>
    </row>
    <row r="26" spans="1:12">
      <c r="A26" s="1"/>
      <c r="B26" s="2"/>
      <c r="C26" s="3"/>
      <c r="D26" s="3"/>
      <c r="E26" s="3"/>
      <c r="F26" s="3"/>
      <c r="G26" s="3"/>
      <c r="H26" s="3"/>
      <c r="I26" s="3"/>
      <c r="J26" s="3"/>
      <c r="K26" s="1"/>
      <c r="L26" s="2"/>
    </row>
    <row r="27" spans="1:12">
      <c r="A27" s="1"/>
      <c r="B27" s="2"/>
      <c r="C27" s="3"/>
      <c r="D27" s="88" t="s">
        <v>6</v>
      </c>
      <c r="E27" s="87"/>
      <c r="F27" s="87"/>
      <c r="G27" s="87"/>
      <c r="H27" s="87"/>
      <c r="I27" s="87"/>
      <c r="J27" s="3"/>
      <c r="K27" s="1"/>
      <c r="L27" s="2"/>
    </row>
    <row r="28" spans="1:12">
      <c r="A28" s="1"/>
      <c r="B28" s="2"/>
      <c r="C28" s="3"/>
      <c r="D28" s="3"/>
      <c r="E28" s="3"/>
      <c r="F28" s="3"/>
      <c r="G28" s="3"/>
      <c r="H28" s="3"/>
      <c r="I28" s="3"/>
      <c r="J28" s="3"/>
      <c r="K28" s="1"/>
      <c r="L28" s="2"/>
    </row>
    <row r="29" spans="1:12">
      <c r="A29" s="1"/>
      <c r="B29" s="2"/>
      <c r="C29" s="3"/>
      <c r="D29" s="3"/>
      <c r="E29" s="3"/>
      <c r="F29" s="3"/>
      <c r="G29" s="3"/>
      <c r="H29" s="3"/>
      <c r="I29" s="3"/>
      <c r="J29" s="3"/>
      <c r="K29" s="1"/>
      <c r="L29" s="2"/>
    </row>
    <row r="30" spans="1:12">
      <c r="A30" s="1"/>
      <c r="B30" s="2"/>
      <c r="C30" s="1"/>
      <c r="D30" s="2"/>
      <c r="E30" s="1"/>
      <c r="F30" s="2"/>
      <c r="G30" s="1"/>
      <c r="H30" s="2"/>
      <c r="I30" s="1"/>
      <c r="J30" s="2"/>
      <c r="K30" s="1"/>
      <c r="L30" s="2"/>
    </row>
    <row r="31" spans="1:12">
      <c r="A31" s="1"/>
      <c r="B31" s="2"/>
      <c r="C31" s="1"/>
      <c r="D31" s="2"/>
      <c r="E31" s="1"/>
      <c r="F31" s="2"/>
      <c r="G31" s="1"/>
      <c r="H31" s="2"/>
      <c r="I31" s="1"/>
      <c r="J31" s="2"/>
      <c r="K31" s="1"/>
      <c r="L31" s="2"/>
    </row>
    <row r="32" spans="1:12">
      <c r="A32" s="1"/>
      <c r="B32" s="2"/>
      <c r="C32" s="1"/>
      <c r="D32" s="2"/>
      <c r="E32" s="1"/>
      <c r="F32" s="2"/>
      <c r="G32" s="1"/>
      <c r="H32" s="2"/>
      <c r="I32" s="1"/>
      <c r="J32" s="2"/>
      <c r="K32" s="1"/>
      <c r="L32" s="2"/>
    </row>
    <row r="33" spans="1:12">
      <c r="A33" s="1"/>
      <c r="B33" s="2"/>
      <c r="C33" s="1"/>
      <c r="D33" s="2"/>
      <c r="E33" s="1"/>
      <c r="F33" s="2"/>
      <c r="G33" s="1"/>
      <c r="H33" s="2"/>
      <c r="I33" s="1"/>
      <c r="J33" s="2"/>
      <c r="K33" s="1"/>
      <c r="L33" s="2"/>
    </row>
    <row r="34" spans="1:12">
      <c r="A34" s="1"/>
      <c r="B34" s="2"/>
      <c r="C34" s="1"/>
      <c r="D34" s="2"/>
      <c r="E34" s="1"/>
      <c r="F34" s="2"/>
      <c r="G34" s="1"/>
      <c r="H34" s="2"/>
      <c r="I34" s="1"/>
      <c r="J34" s="2"/>
      <c r="K34" s="1"/>
      <c r="L34" s="2"/>
    </row>
    <row r="35" spans="1:12">
      <c r="A35" s="1"/>
      <c r="B35" s="2"/>
      <c r="C35" s="1"/>
      <c r="D35" s="2"/>
      <c r="E35" s="1"/>
      <c r="F35" s="2"/>
      <c r="G35" s="1"/>
      <c r="H35" s="2"/>
      <c r="I35" s="1"/>
      <c r="J35" s="2"/>
      <c r="K35" s="1"/>
      <c r="L35" s="2"/>
    </row>
    <row r="36" spans="1:12">
      <c r="A36" s="1"/>
      <c r="B36" s="2"/>
      <c r="C36" s="1"/>
      <c r="D36" s="2"/>
      <c r="E36" s="1"/>
      <c r="F36" s="2"/>
      <c r="G36" s="1"/>
      <c r="H36" s="2"/>
      <c r="I36" s="1"/>
      <c r="J36" s="2"/>
      <c r="K36" s="1"/>
      <c r="L36" s="2"/>
    </row>
  </sheetData>
  <mergeCells count="7">
    <mergeCell ref="C4:J4"/>
    <mergeCell ref="D27:I27"/>
    <mergeCell ref="D18:I18"/>
    <mergeCell ref="C14:J14"/>
    <mergeCell ref="D20:I20"/>
    <mergeCell ref="D16:I16"/>
    <mergeCell ref="D21:I21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D4AF37"/>
  </sheetPr>
  <dimension ref="A1:N48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6" customWidth="1"/>
    <col min="4" max="4" width="40" customWidth="1"/>
    <col min="5" max="5" width="16" customWidth="1"/>
    <col min="6" max="7" width="8" customWidth="1"/>
    <col min="8" max="8" width="16" customWidth="1"/>
    <col min="9" max="9" width="12" customWidth="1"/>
    <col min="10" max="10" width="14" customWidth="1"/>
    <col min="11" max="11" width="12" customWidth="1"/>
    <col min="12" max="13" width="12" hidden="1" customWidth="1"/>
  </cols>
  <sheetData>
    <row r="1" spans="1:14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87"/>
      <c r="L1" s="1"/>
      <c r="M1" s="6" t="s">
        <v>7</v>
      </c>
      <c r="N1" s="7"/>
    </row>
    <row r="2" spans="1:14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87"/>
      <c r="L2" s="9"/>
      <c r="M2" s="10" t="str">
        <f ca="1">TEXT(DAY(NOW()),"00")&amp;"/"&amp;TEXT(MONTH(NOW()),"00")&amp;"/"&amp;YEAR(NOW())&amp;" "&amp;TEXT(HOUR(NOW()),"00")&amp;":"&amp;TEXT(MINUTE(NOW()),"00")</f>
        <v>22/07/2026 14:42</v>
      </c>
      <c r="N2" s="7"/>
    </row>
    <row r="3" spans="1:14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7"/>
    </row>
    <row r="4" spans="1:14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ht="22.8">
      <c r="A5" s="5"/>
      <c r="B5" s="7"/>
      <c r="C5" s="98" t="s">
        <v>8</v>
      </c>
      <c r="D5" s="87"/>
      <c r="E5" s="87"/>
      <c r="F5" s="87"/>
      <c r="G5" s="87"/>
      <c r="H5" s="99">
        <f>BD_SESSAO!B2</f>
        <v>0</v>
      </c>
      <c r="I5" s="87"/>
      <c r="J5" s="7" t="str">
        <f ca="1">TEXT(DAY(TODAY()),"00")&amp;"/"&amp;TEXT(MONTH(TODAY()),"00")&amp;"/"&amp;YEAR(TODAY())</f>
        <v>22/07/2026</v>
      </c>
      <c r="K5" s="14">
        <f>BD_SESSAO!B3</f>
        <v>0</v>
      </c>
      <c r="L5" s="7"/>
      <c r="M5" s="7"/>
      <c r="N5" s="7"/>
    </row>
    <row r="6" spans="1:14" ht="34.049999999999997" customHeight="1">
      <c r="A6" s="15"/>
      <c r="B6" s="7"/>
      <c r="C6" s="13" t="s">
        <v>9</v>
      </c>
      <c r="D6" s="16">
        <v>0</v>
      </c>
      <c r="E6" s="7"/>
      <c r="F6" s="7"/>
      <c r="G6" s="7"/>
      <c r="H6" s="7"/>
      <c r="I6" s="7"/>
      <c r="J6" s="7"/>
      <c r="K6" s="7"/>
      <c r="L6" s="7"/>
      <c r="M6" s="7"/>
      <c r="N6" s="7"/>
    </row>
    <row r="7" spans="1:14" ht="34.049999999999997" customHeight="1">
      <c r="A7" s="1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</row>
    <row r="8" spans="1:14" ht="34.049999999999997" customHeight="1">
      <c r="A8" s="17"/>
      <c r="B8" s="7"/>
      <c r="C8" s="97" t="s">
        <v>10</v>
      </c>
      <c r="D8" s="87"/>
      <c r="E8" s="87"/>
      <c r="F8" s="87"/>
      <c r="G8" s="87"/>
      <c r="H8" s="97" t="s">
        <v>11</v>
      </c>
      <c r="I8" s="87"/>
      <c r="J8" s="87"/>
      <c r="K8" s="87"/>
      <c r="L8" s="7"/>
      <c r="M8" s="7"/>
      <c r="N8" s="7"/>
    </row>
    <row r="9" spans="1:14" ht="34.049999999999997" customHeight="1">
      <c r="A9" s="17"/>
      <c r="B9" s="7"/>
      <c r="C9" s="18" t="s">
        <v>12</v>
      </c>
      <c r="D9" s="18" t="s">
        <v>13</v>
      </c>
      <c r="E9" s="18" t="s">
        <v>14</v>
      </c>
      <c r="F9" s="18" t="s">
        <v>15</v>
      </c>
      <c r="G9" s="18" t="s">
        <v>16</v>
      </c>
      <c r="H9" s="18" t="s">
        <v>17</v>
      </c>
      <c r="I9" s="18" t="s">
        <v>18</v>
      </c>
      <c r="J9" s="7"/>
      <c r="K9" s="7"/>
      <c r="L9" s="7"/>
      <c r="M9" s="7"/>
      <c r="N9" s="7"/>
    </row>
    <row r="10" spans="1:14" ht="22.05" customHeight="1">
      <c r="A10" s="17"/>
      <c r="B10" s="7"/>
      <c r="C10" s="19"/>
      <c r="D10" s="20"/>
      <c r="E10" s="19"/>
      <c r="F10" s="19"/>
      <c r="G10" s="19"/>
      <c r="H10" s="19" t="s">
        <v>19</v>
      </c>
      <c r="I10" s="21">
        <v>0</v>
      </c>
      <c r="J10" s="7"/>
      <c r="K10" s="7"/>
      <c r="L10" s="7"/>
      <c r="M10" s="7"/>
      <c r="N10" s="7"/>
    </row>
    <row r="11" spans="1:14" ht="22.05" customHeight="1">
      <c r="A11" s="17"/>
      <c r="B11" s="7"/>
      <c r="C11" s="19"/>
      <c r="D11" s="20"/>
      <c r="E11" s="19"/>
      <c r="F11" s="19"/>
      <c r="G11" s="19"/>
      <c r="H11" s="19" t="s">
        <v>20</v>
      </c>
      <c r="I11" s="21">
        <v>0</v>
      </c>
      <c r="J11" s="7"/>
      <c r="K11" s="7"/>
      <c r="L11" s="7"/>
      <c r="M11" s="7"/>
      <c r="N11" s="7"/>
    </row>
    <row r="12" spans="1:14" ht="22.05" customHeight="1">
      <c r="A12" s="17"/>
      <c r="B12" s="7"/>
      <c r="C12" s="19"/>
      <c r="D12" s="20"/>
      <c r="E12" s="19"/>
      <c r="F12" s="19"/>
      <c r="G12" s="19"/>
      <c r="H12" s="19" t="s">
        <v>21</v>
      </c>
      <c r="I12" s="21">
        <v>0</v>
      </c>
      <c r="J12" s="7"/>
      <c r="K12" s="7"/>
      <c r="L12" s="7"/>
      <c r="M12" s="7"/>
      <c r="N12" s="7"/>
    </row>
    <row r="13" spans="1:14" ht="22.05" customHeight="1">
      <c r="A13" s="17"/>
      <c r="B13" s="7"/>
      <c r="C13" s="19"/>
      <c r="D13" s="20"/>
      <c r="E13" s="19"/>
      <c r="F13" s="19"/>
      <c r="G13" s="19"/>
      <c r="H13" s="19" t="s">
        <v>22</v>
      </c>
      <c r="I13" s="21">
        <v>0</v>
      </c>
      <c r="J13" s="7"/>
      <c r="K13" s="7"/>
      <c r="L13" s="7"/>
      <c r="M13" s="7"/>
      <c r="N13" s="7"/>
    </row>
    <row r="14" spans="1:14" ht="22.05" customHeight="1">
      <c r="A14" s="17"/>
      <c r="B14" s="7"/>
      <c r="C14" s="19"/>
      <c r="D14" s="20"/>
      <c r="E14" s="19"/>
      <c r="F14" s="19"/>
      <c r="G14" s="19"/>
      <c r="H14" s="19" t="s">
        <v>23</v>
      </c>
      <c r="I14" s="21">
        <v>0</v>
      </c>
      <c r="J14" s="7"/>
      <c r="K14" s="7"/>
      <c r="L14" s="7"/>
      <c r="M14" s="7"/>
      <c r="N14" s="7"/>
    </row>
    <row r="15" spans="1:14" ht="22.05" customHeight="1">
      <c r="A15" s="17"/>
      <c r="B15" s="7"/>
      <c r="C15" s="19"/>
      <c r="D15" s="20"/>
      <c r="E15" s="19"/>
      <c r="F15" s="19"/>
      <c r="G15" s="19"/>
      <c r="H15" s="7"/>
      <c r="I15" s="7"/>
      <c r="J15" s="7"/>
      <c r="K15" s="7"/>
      <c r="L15" s="7"/>
      <c r="M15" s="7"/>
      <c r="N15" s="7"/>
    </row>
    <row r="16" spans="1:14" ht="22.05" customHeight="1">
      <c r="A16" s="17"/>
      <c r="B16" s="7"/>
      <c r="C16" s="19"/>
      <c r="D16" s="20"/>
      <c r="E16" s="19"/>
      <c r="F16" s="19"/>
      <c r="G16" s="19"/>
      <c r="H16" s="97" t="s">
        <v>24</v>
      </c>
      <c r="I16" s="87"/>
      <c r="J16" s="87"/>
      <c r="K16" s="87"/>
      <c r="L16" s="7"/>
      <c r="M16" s="7"/>
      <c r="N16" s="7"/>
    </row>
    <row r="17" spans="1:14" ht="22.05" customHeight="1">
      <c r="A17" s="17"/>
      <c r="B17" s="7"/>
      <c r="C17" s="19"/>
      <c r="D17" s="20"/>
      <c r="E17" s="19"/>
      <c r="F17" s="19"/>
      <c r="G17" s="19"/>
      <c r="H17" s="7"/>
      <c r="I17" s="7"/>
      <c r="J17" s="7"/>
      <c r="K17" s="7"/>
      <c r="L17" s="7"/>
      <c r="M17" s="7"/>
      <c r="N17" s="7"/>
    </row>
    <row r="18" spans="1:14" ht="22.05" customHeight="1">
      <c r="A18" s="17"/>
      <c r="B18" s="7"/>
      <c r="C18" s="19"/>
      <c r="D18" s="20"/>
      <c r="E18" s="19"/>
      <c r="F18" s="19"/>
      <c r="G18" s="19"/>
      <c r="H18" s="22"/>
      <c r="I18" s="7"/>
      <c r="J18" s="22"/>
      <c r="K18" s="7"/>
      <c r="L18" s="7"/>
      <c r="M18" s="7"/>
      <c r="N18" s="7"/>
    </row>
    <row r="19" spans="1:14" ht="22.05" customHeight="1">
      <c r="A19" s="17"/>
      <c r="B19" s="7"/>
      <c r="C19" s="19"/>
      <c r="D19" s="20"/>
      <c r="E19" s="19"/>
      <c r="F19" s="19"/>
      <c r="G19" s="19"/>
      <c r="H19" s="23">
        <v>0</v>
      </c>
      <c r="I19" s="7"/>
      <c r="J19" s="23">
        <v>0</v>
      </c>
      <c r="K19" s="7"/>
      <c r="L19" s="7"/>
      <c r="M19" s="7"/>
      <c r="N19" s="7"/>
    </row>
    <row r="20" spans="1:14" ht="34.049999999999997" customHeight="1">
      <c r="A20" s="1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ht="34.049999999999997" customHeight="1">
      <c r="A21" s="17"/>
      <c r="B21" s="7"/>
      <c r="C21" s="97" t="s">
        <v>25</v>
      </c>
      <c r="D21" s="87"/>
      <c r="E21" s="87"/>
      <c r="F21" s="87"/>
      <c r="G21" s="87"/>
      <c r="H21" s="22"/>
      <c r="I21" s="7"/>
      <c r="J21" s="22"/>
      <c r="K21" s="7"/>
      <c r="L21" s="7"/>
      <c r="M21" s="7"/>
      <c r="N21" s="7"/>
    </row>
    <row r="22" spans="1:14" ht="34.049999999999997" customHeight="1">
      <c r="A22" s="17"/>
      <c r="B22" s="7"/>
      <c r="C22" s="18" t="s">
        <v>26</v>
      </c>
      <c r="D22" s="18" t="s">
        <v>27</v>
      </c>
      <c r="E22" s="18" t="s">
        <v>28</v>
      </c>
      <c r="F22" s="7"/>
      <c r="G22" s="7"/>
      <c r="H22" s="23">
        <v>0</v>
      </c>
      <c r="I22" s="7"/>
      <c r="J22" s="23">
        <v>0</v>
      </c>
      <c r="K22" s="7"/>
      <c r="L22" s="7"/>
      <c r="M22" s="7"/>
      <c r="N22" s="7"/>
    </row>
    <row r="23" spans="1:14" ht="34.049999999999997" customHeight="1">
      <c r="A23" s="17"/>
      <c r="B23" s="7"/>
      <c r="C23" s="19"/>
      <c r="D23" s="19"/>
      <c r="E23" s="19"/>
      <c r="F23" s="7"/>
      <c r="G23" s="7"/>
      <c r="H23" s="7"/>
      <c r="I23" s="7"/>
      <c r="J23" s="7"/>
      <c r="K23" s="7"/>
      <c r="L23" s="7"/>
      <c r="M23" s="7"/>
      <c r="N23" s="7"/>
    </row>
    <row r="24" spans="1:14">
      <c r="A24" s="5"/>
      <c r="B24" s="7"/>
      <c r="C24" s="19"/>
      <c r="D24" s="19"/>
      <c r="E24" s="19"/>
      <c r="F24" s="7"/>
      <c r="G24" s="7"/>
      <c r="H24" s="7"/>
      <c r="I24" s="7"/>
      <c r="J24" s="7"/>
      <c r="K24" s="7"/>
      <c r="L24" s="7"/>
      <c r="M24" s="7"/>
      <c r="N24" s="7"/>
    </row>
    <row r="25" spans="1:14">
      <c r="A25" s="5"/>
      <c r="B25" s="7"/>
      <c r="C25" s="19"/>
      <c r="D25" s="19"/>
      <c r="E25" s="19"/>
      <c r="F25" s="7"/>
      <c r="G25" s="7"/>
      <c r="H25" s="7"/>
      <c r="I25" s="7"/>
      <c r="J25" s="7"/>
      <c r="K25" s="7"/>
      <c r="L25" s="7"/>
      <c r="M25" s="7"/>
      <c r="N25" s="7"/>
    </row>
    <row r="26" spans="1:14">
      <c r="A26" s="5"/>
      <c r="B26" s="7"/>
      <c r="C26" s="19"/>
      <c r="D26" s="19"/>
      <c r="E26" s="19"/>
      <c r="F26" s="7"/>
      <c r="G26" s="7"/>
      <c r="H26" s="7"/>
      <c r="I26" s="7"/>
      <c r="J26" s="7"/>
      <c r="K26" s="7"/>
      <c r="L26" s="7"/>
      <c r="M26" s="7"/>
      <c r="N26" s="7"/>
    </row>
    <row r="27" spans="1:14">
      <c r="A27" s="5"/>
      <c r="B27" s="7"/>
      <c r="C27" s="19"/>
      <c r="D27" s="19"/>
      <c r="E27" s="19"/>
      <c r="F27" s="7"/>
      <c r="G27" s="7"/>
      <c r="H27" s="7"/>
      <c r="I27" s="7"/>
      <c r="J27" s="7"/>
      <c r="K27" s="7"/>
      <c r="L27" s="7"/>
      <c r="M27" s="7"/>
      <c r="N27" s="7"/>
    </row>
    <row r="28" spans="1:14">
      <c r="A28" s="5"/>
      <c r="B28" s="7"/>
      <c r="C28" s="19"/>
      <c r="D28" s="19"/>
      <c r="E28" s="19"/>
      <c r="F28" s="7"/>
      <c r="G28" s="7"/>
      <c r="H28" s="7"/>
      <c r="I28" s="7"/>
      <c r="J28" s="7"/>
      <c r="K28" s="7"/>
      <c r="L28" s="7"/>
      <c r="M28" s="7"/>
      <c r="N28" s="7"/>
    </row>
    <row r="29" spans="1:14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4">
      <c r="A30" s="5"/>
      <c r="B30" s="7"/>
      <c r="C30" s="94" t="s">
        <v>29</v>
      </c>
      <c r="D30" s="87"/>
      <c r="E30" s="87"/>
      <c r="F30" s="87"/>
      <c r="G30" s="87"/>
      <c r="H30" s="87"/>
      <c r="I30" s="87"/>
      <c r="J30" s="87"/>
      <c r="K30" s="87"/>
      <c r="L30" s="7"/>
      <c r="M30" s="7"/>
      <c r="N30" s="7"/>
    </row>
    <row r="31" spans="1:14">
      <c r="A31" s="5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</row>
    <row r="32" spans="1:14">
      <c r="A32" s="5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</row>
    <row r="33" spans="1:14">
      <c r="A33" s="5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</row>
    <row r="34" spans="1:14">
      <c r="A34" s="5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</row>
    <row r="35" spans="1:14">
      <c r="A35" s="5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</row>
    <row r="36" spans="1:14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</row>
    <row r="37" spans="1:14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</row>
    <row r="38" spans="1:14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</row>
    <row r="39" spans="1:14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</row>
    <row r="40" spans="1:14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</row>
    <row r="41" spans="1:14">
      <c r="A41" s="5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</row>
    <row r="42" spans="1:14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</row>
    <row r="43" spans="1:14">
      <c r="A43" s="5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14">
      <c r="A44" s="5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14">
      <c r="A45" s="5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14">
      <c r="A46" s="5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14">
      <c r="A47" s="5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14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</sheetData>
  <mergeCells count="9">
    <mergeCell ref="C30:K30"/>
    <mergeCell ref="C2:K2"/>
    <mergeCell ref="C1:K1"/>
    <mergeCell ref="C21:G21"/>
    <mergeCell ref="H8:K8"/>
    <mergeCell ref="C5:G5"/>
    <mergeCell ref="H5:I5"/>
    <mergeCell ref="H16:K16"/>
    <mergeCell ref="C8:G8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D4AF37"/>
  </sheetPr>
  <dimension ref="A1:N56"/>
  <sheetViews>
    <sheetView showGridLines="0" workbookViewId="0"/>
  </sheetViews>
  <sheetFormatPr defaultRowHeight="14.4"/>
  <cols>
    <col min="1" max="1" width="24" customWidth="1"/>
    <col min="2" max="2" width="3" customWidth="1"/>
    <col min="3" max="6" width="14" customWidth="1"/>
    <col min="7" max="7" width="2" customWidth="1"/>
    <col min="8" max="11" width="12" customWidth="1"/>
    <col min="12" max="12" width="10" customWidth="1"/>
    <col min="13" max="13" width="8" customWidth="1"/>
    <col min="14" max="14" width="2" customWidth="1"/>
  </cols>
  <sheetData>
    <row r="1" spans="1:14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87"/>
      <c r="L1" s="1"/>
      <c r="M1" s="6" t="s">
        <v>7</v>
      </c>
      <c r="N1" s="7"/>
    </row>
    <row r="2" spans="1:14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87"/>
      <c r="L2" s="9"/>
      <c r="M2" s="10" t="str">
        <f ca="1">TEXT(DAY(NOW()),"00")&amp;"/"&amp;TEXT(MONTH(NOW()),"00")&amp;"/"&amp;YEAR(NOW())&amp;" "&amp;TEXT(HOUR(NOW()),"00")&amp;":"&amp;TEXT(MINUTE(NOW()),"00")</f>
        <v>22/07/2026 14:42</v>
      </c>
      <c r="N2" s="7"/>
    </row>
    <row r="3" spans="1:14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7"/>
    </row>
    <row r="4" spans="1:14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ht="28.05" customHeight="1">
      <c r="A5" s="5"/>
      <c r="B5" s="7"/>
      <c r="C5" s="116" t="s">
        <v>30</v>
      </c>
      <c r="D5" s="87"/>
      <c r="E5" s="87"/>
      <c r="F5" s="87"/>
      <c r="G5" s="87"/>
      <c r="H5" s="87"/>
      <c r="I5" s="94" t="s">
        <v>31</v>
      </c>
      <c r="J5" s="87"/>
      <c r="K5" s="87"/>
      <c r="L5" s="87"/>
      <c r="M5" s="7"/>
      <c r="N5" s="7"/>
    </row>
    <row r="6" spans="1:14" ht="34.049999999999997" customHeight="1">
      <c r="A6" s="17"/>
      <c r="B6" s="7"/>
      <c r="C6" s="25"/>
      <c r="D6" s="25"/>
      <c r="E6" s="25"/>
      <c r="F6" s="25"/>
      <c r="G6" s="25"/>
      <c r="H6" s="25"/>
      <c r="I6" s="25"/>
      <c r="J6" s="25"/>
      <c r="K6" s="25"/>
      <c r="L6" s="25"/>
      <c r="M6" s="7"/>
      <c r="N6" s="7"/>
    </row>
    <row r="7" spans="1:14" ht="18" customHeight="1">
      <c r="A7" s="17"/>
      <c r="B7" s="7"/>
      <c r="C7" s="100" t="s">
        <v>32</v>
      </c>
      <c r="D7" s="101"/>
      <c r="E7" s="100" t="s">
        <v>33</v>
      </c>
      <c r="F7" s="101"/>
      <c r="G7" s="7"/>
      <c r="H7" s="100" t="s">
        <v>34</v>
      </c>
      <c r="I7" s="101"/>
      <c r="J7" s="100" t="s">
        <v>35</v>
      </c>
      <c r="K7" s="101"/>
      <c r="L7" s="26" t="s">
        <v>36</v>
      </c>
      <c r="M7" s="7"/>
      <c r="N7" s="7"/>
    </row>
    <row r="8" spans="1:14" ht="18" customHeight="1">
      <c r="A8" s="17"/>
      <c r="B8" s="7"/>
      <c r="C8" s="112">
        <f>BI_BASE!E2</f>
        <v>0</v>
      </c>
      <c r="D8" s="109"/>
      <c r="E8" s="112">
        <f>BI_BASE!E3</f>
        <v>0</v>
      </c>
      <c r="F8" s="109"/>
      <c r="G8" s="7"/>
      <c r="H8" s="112">
        <f>BI_BASE!E4</f>
        <v>0</v>
      </c>
      <c r="I8" s="109"/>
      <c r="J8" s="113">
        <f>BI_BASE!E5</f>
        <v>0</v>
      </c>
      <c r="K8" s="109"/>
      <c r="L8" s="7" t="s">
        <v>37</v>
      </c>
      <c r="M8" s="7" t="s">
        <v>38</v>
      </c>
      <c r="N8" s="7"/>
    </row>
    <row r="9" spans="1:14" ht="18" customHeight="1">
      <c r="A9" s="17"/>
      <c r="B9" s="7"/>
      <c r="C9" s="110"/>
      <c r="D9" s="111"/>
      <c r="E9" s="110"/>
      <c r="F9" s="111"/>
      <c r="G9" s="7"/>
      <c r="H9" s="110"/>
      <c r="I9" s="111"/>
      <c r="J9" s="110"/>
      <c r="K9" s="111"/>
      <c r="L9" s="7" t="s">
        <v>39</v>
      </c>
      <c r="M9" s="7" t="s">
        <v>38</v>
      </c>
      <c r="N9" s="7"/>
    </row>
    <row r="10" spans="1:14" ht="18" customHeight="1">
      <c r="A10" s="15"/>
      <c r="B10" s="7"/>
      <c r="C10" s="104" t="str">
        <f>"● hoje"</f>
        <v>● hoje</v>
      </c>
      <c r="D10" s="101"/>
      <c r="E10" s="104" t="str">
        <f>"● mês"</f>
        <v>● mês</v>
      </c>
      <c r="F10" s="101"/>
      <c r="G10" s="7"/>
      <c r="H10" s="104" t="str">
        <f>"● líquido"</f>
        <v>● líquido</v>
      </c>
      <c r="I10" s="101"/>
      <c r="J10" s="104" t="str">
        <f>"● base"</f>
        <v>● base</v>
      </c>
      <c r="K10" s="101"/>
      <c r="L10" s="7" t="s">
        <v>40</v>
      </c>
      <c r="M10" s="7" t="s">
        <v>38</v>
      </c>
      <c r="N10" s="7"/>
    </row>
    <row r="11" spans="1:14" ht="34.049999999999997" customHeight="1">
      <c r="A11" s="17"/>
      <c r="B11" s="7"/>
      <c r="C11" s="7"/>
      <c r="D11" s="7"/>
      <c r="E11" s="7"/>
      <c r="F11" s="7"/>
      <c r="G11" s="7"/>
      <c r="H11" s="7"/>
      <c r="I11" s="7"/>
      <c r="J11" s="7"/>
      <c r="K11" s="7"/>
      <c r="L11" s="7" t="s">
        <v>20</v>
      </c>
      <c r="M11" s="7" t="s">
        <v>38</v>
      </c>
      <c r="N11" s="7"/>
    </row>
    <row r="12" spans="1:14" ht="18" customHeight="1">
      <c r="A12" s="17"/>
      <c r="B12" s="7"/>
      <c r="C12" s="100" t="s">
        <v>41</v>
      </c>
      <c r="D12" s="101"/>
      <c r="E12" s="100" t="s">
        <v>42</v>
      </c>
      <c r="F12" s="101"/>
      <c r="G12" s="7"/>
      <c r="H12" s="100" t="s">
        <v>39</v>
      </c>
      <c r="I12" s="101"/>
      <c r="J12" s="100" t="s">
        <v>43</v>
      </c>
      <c r="K12" s="101"/>
      <c r="L12" s="7"/>
      <c r="M12" s="7"/>
      <c r="N12" s="7"/>
    </row>
    <row r="13" spans="1:14" ht="18" customHeight="1">
      <c r="A13" s="17"/>
      <c r="B13" s="7"/>
      <c r="C13" s="113">
        <f>BI_BASE!E6</f>
        <v>0</v>
      </c>
      <c r="D13" s="109"/>
      <c r="E13" s="113">
        <f>BI_BASE!E7</f>
        <v>0</v>
      </c>
      <c r="F13" s="109"/>
      <c r="G13" s="7"/>
      <c r="H13" s="108">
        <f>BI_BASE!E8</f>
        <v>0</v>
      </c>
      <c r="I13" s="109"/>
      <c r="J13" s="112">
        <f>BI_BASE!E9</f>
        <v>0</v>
      </c>
      <c r="K13" s="109"/>
      <c r="L13" s="7"/>
      <c r="M13" s="7"/>
      <c r="N13" s="7"/>
    </row>
    <row r="14" spans="1:14" ht="18" customHeight="1">
      <c r="A14" s="17"/>
      <c r="B14" s="7"/>
      <c r="C14" s="110"/>
      <c r="D14" s="111"/>
      <c r="E14" s="110"/>
      <c r="F14" s="111"/>
      <c r="G14" s="7"/>
      <c r="H14" s="110"/>
      <c r="I14" s="111"/>
      <c r="J14" s="110"/>
      <c r="K14" s="111"/>
      <c r="L14" s="7"/>
      <c r="M14" s="7"/>
      <c r="N14" s="7"/>
    </row>
    <row r="15" spans="1:14" ht="18" customHeight="1">
      <c r="A15" s="17"/>
      <c r="B15" s="7"/>
      <c r="C15" s="104" t="str">
        <f>"● mês"</f>
        <v>● mês</v>
      </c>
      <c r="D15" s="101"/>
      <c r="E15" s="104" t="str">
        <f>"● total"</f>
        <v>● total</v>
      </c>
      <c r="F15" s="101"/>
      <c r="G15" s="7"/>
      <c r="H15" s="104" t="str">
        <f>BI_BASE!H3</f>
        <v>🟡</v>
      </c>
      <c r="I15" s="101"/>
      <c r="J15" s="104" t="str">
        <f>"● médio"</f>
        <v>● médio</v>
      </c>
      <c r="K15" s="101"/>
      <c r="L15" s="7"/>
      <c r="M15" s="7"/>
      <c r="N15" s="7"/>
    </row>
    <row r="16" spans="1:14" ht="34.049999999999997" customHeight="1">
      <c r="A16" s="1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</row>
    <row r="17" spans="1:14" ht="18" customHeight="1">
      <c r="A17" s="17"/>
      <c r="B17" s="7"/>
      <c r="C17" s="100" t="s">
        <v>44</v>
      </c>
      <c r="D17" s="101"/>
      <c r="E17" s="100" t="s">
        <v>45</v>
      </c>
      <c r="F17" s="101"/>
      <c r="G17" s="7"/>
      <c r="H17" s="100" t="s">
        <v>46</v>
      </c>
      <c r="I17" s="101"/>
      <c r="J17" s="100" t="s">
        <v>47</v>
      </c>
      <c r="K17" s="101"/>
      <c r="L17" s="7"/>
      <c r="M17" s="7"/>
      <c r="N17" s="7"/>
    </row>
    <row r="18" spans="1:14" ht="18" customHeight="1">
      <c r="A18" s="17"/>
      <c r="B18" s="7"/>
      <c r="C18" s="108">
        <f>BI_BASE!E10</f>
        <v>0</v>
      </c>
      <c r="D18" s="109"/>
      <c r="E18" s="112">
        <f>BI_BASE!E11</f>
        <v>0</v>
      </c>
      <c r="F18" s="109"/>
      <c r="G18" s="7"/>
      <c r="H18" s="114">
        <f>IFERROR(BI_BASE!E3/INDEX(BD_METAS!B:B,MATCH("Receita",BD_METAS!A:A,0)),0)</f>
        <v>0</v>
      </c>
      <c r="I18" s="109"/>
      <c r="J18" s="113">
        <f>BI_BASE!E24</f>
        <v>0</v>
      </c>
      <c r="K18" s="109"/>
      <c r="L18" s="7"/>
      <c r="M18" s="7"/>
      <c r="N18" s="7"/>
    </row>
    <row r="19" spans="1:14" ht="18" customHeight="1">
      <c r="A19" s="17"/>
      <c r="B19" s="7"/>
      <c r="C19" s="110"/>
      <c r="D19" s="111"/>
      <c r="E19" s="110"/>
      <c r="F19" s="111"/>
      <c r="G19" s="7"/>
      <c r="H19" s="110"/>
      <c r="I19" s="111"/>
      <c r="J19" s="110"/>
      <c r="K19" s="111"/>
      <c r="L19" s="7"/>
      <c r="M19" s="7"/>
      <c r="N19" s="7"/>
    </row>
    <row r="20" spans="1:14" ht="18" customHeight="1">
      <c r="A20" s="17"/>
      <c r="B20" s="7"/>
      <c r="C20" s="104" t="str">
        <f>BI_BASE!H2</f>
        <v>🟡</v>
      </c>
      <c r="D20" s="101"/>
      <c r="E20" s="104" t="str">
        <f>"● atual"</f>
        <v>● atual</v>
      </c>
      <c r="F20" s="101"/>
      <c r="G20" s="7"/>
      <c r="H20" s="104" t="str">
        <f>BI_BASE!H4</f>
        <v>🟡</v>
      </c>
      <c r="I20" s="101"/>
      <c r="J20" s="104" t="str">
        <f>BI_BASE!H5</f>
        <v>🟡</v>
      </c>
      <c r="K20" s="101"/>
      <c r="L20" s="7"/>
      <c r="M20" s="7"/>
      <c r="N20" s="7"/>
    </row>
    <row r="21" spans="1:14" ht="34.049999999999997" customHeight="1">
      <c r="A21" s="1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ht="34.049999999999997" customHeight="1">
      <c r="A22" s="17"/>
      <c r="B22" s="7"/>
      <c r="C22" s="102" t="s">
        <v>48</v>
      </c>
      <c r="D22" s="103"/>
      <c r="E22" s="103"/>
      <c r="F22" s="101"/>
      <c r="G22" s="7"/>
      <c r="H22" s="102" t="s">
        <v>49</v>
      </c>
      <c r="I22" s="103"/>
      <c r="J22" s="103"/>
      <c r="K22" s="103"/>
      <c r="L22" s="101"/>
      <c r="M22" s="7"/>
      <c r="N22" s="7"/>
    </row>
    <row r="23" spans="1:14" ht="34.049999999999997" customHeight="1">
      <c r="A23" s="17"/>
      <c r="B23" s="7"/>
      <c r="C23" s="27" t="s">
        <v>50</v>
      </c>
      <c r="D23" s="27" t="s">
        <v>40</v>
      </c>
      <c r="E23" s="27" t="s">
        <v>51</v>
      </c>
      <c r="F23" s="27" t="s">
        <v>52</v>
      </c>
      <c r="G23" s="7"/>
      <c r="H23" s="27" t="s">
        <v>53</v>
      </c>
      <c r="I23" s="27" t="s">
        <v>54</v>
      </c>
      <c r="J23" s="27" t="s">
        <v>16</v>
      </c>
      <c r="K23" s="27" t="s">
        <v>55</v>
      </c>
      <c r="L23" s="28"/>
      <c r="M23" s="7"/>
      <c r="N23" s="7"/>
    </row>
    <row r="24" spans="1:14">
      <c r="A24" s="5"/>
      <c r="B24" s="7"/>
      <c r="C24" s="29" t="str">
        <f>BD_METAS!A2</f>
        <v>Receita</v>
      </c>
      <c r="D24" s="29">
        <f>BD_METAS!B2</f>
        <v>50000</v>
      </c>
      <c r="E24" s="29">
        <f>BD_METAS!C2</f>
        <v>0</v>
      </c>
      <c r="F24" s="30">
        <f>BD_METAS!F2</f>
        <v>0</v>
      </c>
      <c r="G24" s="7"/>
      <c r="H24" s="29">
        <f>BI_BASE!A12</f>
        <v>0</v>
      </c>
      <c r="I24" s="29">
        <f>BI_BASE!B12</f>
        <v>0</v>
      </c>
      <c r="J24" s="29">
        <f>BI_BASE!C12</f>
        <v>0</v>
      </c>
      <c r="K24" s="29" t="str">
        <f>BI_BASE!D12</f>
        <v>ReceitaPrevista</v>
      </c>
      <c r="L24" s="28"/>
      <c r="M24" s="7"/>
      <c r="N24" s="7"/>
    </row>
    <row r="25" spans="1:14">
      <c r="A25" s="5"/>
      <c r="B25" s="7"/>
      <c r="C25" s="29" t="str">
        <f>BD_METAS!A3</f>
        <v>Novos alunos</v>
      </c>
      <c r="D25" s="29">
        <f>BD_METAS!B3</f>
        <v>40</v>
      </c>
      <c r="E25" s="29">
        <f>BD_METAS!C3</f>
        <v>0</v>
      </c>
      <c r="F25" s="30">
        <f>BD_METAS!F3</f>
        <v>0</v>
      </c>
      <c r="G25" s="7"/>
      <c r="H25" s="29">
        <f>BI_BASE!A13</f>
        <v>0</v>
      </c>
      <c r="I25" s="29">
        <f>BI_BASE!B13</f>
        <v>0</v>
      </c>
      <c r="J25" s="29">
        <f>BI_BASE!C13</f>
        <v>0</v>
      </c>
      <c r="K25" s="29" t="str">
        <f>BI_BASE!D13</f>
        <v>ReceitaRecebida</v>
      </c>
      <c r="L25" s="28"/>
      <c r="M25" s="7"/>
      <c r="N25" s="7"/>
    </row>
    <row r="26" spans="1:14">
      <c r="A26" s="5"/>
      <c r="B26" s="7"/>
      <c r="C26" s="29" t="str">
        <f>BD_METAS!A4</f>
        <v>Churn</v>
      </c>
      <c r="D26" s="29">
        <f>BD_METAS!B4</f>
        <v>5</v>
      </c>
      <c r="E26" s="29">
        <f>BD_METAS!C4</f>
        <v>0</v>
      </c>
      <c r="F26" s="30">
        <f>BD_METAS!F4</f>
        <v>0</v>
      </c>
      <c r="G26" s="7"/>
      <c r="H26" s="29">
        <f>BI_BASE!A14</f>
        <v>0</v>
      </c>
      <c r="I26" s="29">
        <f>BI_BASE!B14</f>
        <v>0</v>
      </c>
      <c r="J26" s="29">
        <f>BI_BASE!C14</f>
        <v>0</v>
      </c>
      <c r="K26" s="29" t="str">
        <f>BI_BASE!D14</f>
        <v>ReceitaAtraso</v>
      </c>
      <c r="L26" s="28"/>
      <c r="M26" s="7"/>
      <c r="N26" s="7"/>
    </row>
    <row r="27" spans="1:14">
      <c r="A27" s="5"/>
      <c r="B27" s="7"/>
      <c r="C27" s="29" t="str">
        <f>BD_METAS!A5</f>
        <v>Inadimplência</v>
      </c>
      <c r="D27" s="29">
        <f>BD_METAS!B5</f>
        <v>5</v>
      </c>
      <c r="E27" s="29">
        <f>BD_METAS!C5</f>
        <v>0</v>
      </c>
      <c r="F27" s="30">
        <f>BD_METAS!F5</f>
        <v>0</v>
      </c>
      <c r="G27" s="7"/>
      <c r="H27" s="29">
        <f>BI_BASE!A15</f>
        <v>0</v>
      </c>
      <c r="I27" s="29">
        <f>BI_BASE!B15</f>
        <v>0</v>
      </c>
      <c r="J27" s="29">
        <f>BI_BASE!C15</f>
        <v>0</v>
      </c>
      <c r="K27" s="29" t="str">
        <f>BI_BASE!D15</f>
        <v>ContasReceber</v>
      </c>
      <c r="L27" s="28"/>
      <c r="M27" s="7"/>
      <c r="N27" s="7"/>
    </row>
    <row r="28" spans="1:14">
      <c r="A28" s="5"/>
      <c r="B28" s="7"/>
      <c r="C28" s="29" t="str">
        <f>BD_METAS!A6</f>
        <v>Ticket Médio</v>
      </c>
      <c r="D28" s="29">
        <f>BD_METAS!B6</f>
        <v>180</v>
      </c>
      <c r="E28" s="29">
        <f>BD_METAS!C6</f>
        <v>0</v>
      </c>
      <c r="F28" s="30">
        <f>BD_METAS!F6</f>
        <v>0</v>
      </c>
      <c r="G28" s="7"/>
      <c r="H28" s="29">
        <f>BI_BASE!A16</f>
        <v>0</v>
      </c>
      <c r="I28" s="29">
        <f>BI_BASE!B16</f>
        <v>0</v>
      </c>
      <c r="J28" s="29">
        <f>BI_BASE!C16</f>
        <v>0</v>
      </c>
      <c r="K28" s="29" t="str">
        <f>BI_BASE!D16</f>
        <v>ContasPagar</v>
      </c>
      <c r="L28" s="28"/>
      <c r="M28" s="7"/>
      <c r="N28" s="7"/>
    </row>
    <row r="29" spans="1:14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4">
      <c r="A30" s="5"/>
      <c r="B30" s="7"/>
      <c r="C30" s="102" t="s">
        <v>56</v>
      </c>
      <c r="D30" s="103"/>
      <c r="E30" s="103"/>
      <c r="F30" s="103"/>
      <c r="G30" s="101"/>
      <c r="H30" s="7"/>
      <c r="I30" s="7"/>
      <c r="J30" s="7"/>
      <c r="K30" s="7"/>
      <c r="L30" s="7"/>
      <c r="M30" s="7"/>
      <c r="N30" s="7"/>
    </row>
    <row r="31" spans="1:14">
      <c r="A31" s="5"/>
      <c r="B31" s="7"/>
      <c r="C31" s="27" t="s">
        <v>57</v>
      </c>
      <c r="D31" s="27" t="s">
        <v>58</v>
      </c>
      <c r="E31" s="27" t="s">
        <v>59</v>
      </c>
      <c r="F31" s="27" t="s">
        <v>60</v>
      </c>
      <c r="G31" s="28"/>
      <c r="H31" s="7"/>
      <c r="I31" s="7"/>
      <c r="J31" s="7"/>
      <c r="K31" s="7"/>
      <c r="L31" s="7"/>
      <c r="M31" s="7"/>
      <c r="N31" s="7"/>
    </row>
    <row r="32" spans="1:14">
      <c r="A32" s="5"/>
      <c r="B32" s="7"/>
      <c r="C32" s="29" t="str">
        <f>BI_BASE!A26</f>
        <v>Fev</v>
      </c>
      <c r="D32" s="31">
        <f>BI_BASE!B26</f>
        <v>0</v>
      </c>
      <c r="E32" s="31">
        <f>BI_BASE!C26</f>
        <v>0</v>
      </c>
      <c r="F32" s="31">
        <f>BI_BASE!D26</f>
        <v>0</v>
      </c>
      <c r="G32" s="28"/>
      <c r="H32" s="7"/>
      <c r="I32" s="7"/>
      <c r="J32" s="7"/>
      <c r="K32" s="7"/>
      <c r="L32" s="7"/>
      <c r="M32" s="7"/>
      <c r="N32" s="7"/>
    </row>
    <row r="33" spans="1:14">
      <c r="A33" s="5"/>
      <c r="B33" s="7"/>
      <c r="C33" s="29" t="str">
        <f>BI_BASE!A27</f>
        <v>Mar</v>
      </c>
      <c r="D33" s="31">
        <f>BI_BASE!B27</f>
        <v>0</v>
      </c>
      <c r="E33" s="31">
        <f>BI_BASE!C27</f>
        <v>0</v>
      </c>
      <c r="F33" s="31">
        <f>BI_BASE!D27</f>
        <v>0</v>
      </c>
      <c r="G33" s="28"/>
      <c r="H33" s="7"/>
      <c r="I33" s="7"/>
      <c r="J33" s="7"/>
      <c r="K33" s="7"/>
      <c r="L33" s="7"/>
      <c r="M33" s="7"/>
      <c r="N33" s="7"/>
    </row>
    <row r="34" spans="1:14">
      <c r="A34" s="5"/>
      <c r="B34" s="7"/>
      <c r="C34" s="29" t="str">
        <f>BI_BASE!A28</f>
        <v>Abr</v>
      </c>
      <c r="D34" s="31">
        <f>BI_BASE!B28</f>
        <v>0</v>
      </c>
      <c r="E34" s="31">
        <f>BI_BASE!C28</f>
        <v>0</v>
      </c>
      <c r="F34" s="31">
        <f>BI_BASE!D28</f>
        <v>0</v>
      </c>
      <c r="G34" s="28"/>
      <c r="H34" s="7"/>
      <c r="I34" s="7"/>
      <c r="J34" s="7"/>
      <c r="K34" s="7"/>
      <c r="L34" s="7"/>
      <c r="M34" s="7"/>
      <c r="N34" s="7"/>
    </row>
    <row r="35" spans="1:14">
      <c r="A35" s="5"/>
      <c r="B35" s="7"/>
      <c r="C35" s="29" t="str">
        <f>BI_BASE!A29</f>
        <v>Mai</v>
      </c>
      <c r="D35" s="31">
        <f>BI_BASE!B29</f>
        <v>0</v>
      </c>
      <c r="E35" s="31">
        <f>BI_BASE!C29</f>
        <v>0</v>
      </c>
      <c r="F35" s="31">
        <f>BI_BASE!D29</f>
        <v>0</v>
      </c>
      <c r="G35" s="28"/>
      <c r="H35" s="7"/>
      <c r="I35" s="7"/>
      <c r="J35" s="7"/>
      <c r="K35" s="7"/>
      <c r="L35" s="7"/>
      <c r="M35" s="7"/>
      <c r="N35" s="7"/>
    </row>
    <row r="36" spans="1:14">
      <c r="A36" s="5"/>
      <c r="B36" s="7"/>
      <c r="C36" s="29" t="str">
        <f>BI_BASE!A30</f>
        <v>Jun</v>
      </c>
      <c r="D36" s="31">
        <f>BI_BASE!B30</f>
        <v>0</v>
      </c>
      <c r="E36" s="31">
        <f>BI_BASE!C30</f>
        <v>0</v>
      </c>
      <c r="F36" s="31">
        <f>BI_BASE!D30</f>
        <v>0</v>
      </c>
      <c r="G36" s="28"/>
      <c r="H36" s="7"/>
      <c r="I36" s="7"/>
      <c r="J36" s="7"/>
      <c r="K36" s="7"/>
      <c r="L36" s="7"/>
      <c r="M36" s="7"/>
      <c r="N36" s="7"/>
    </row>
    <row r="37" spans="1:14">
      <c r="A37" s="5"/>
      <c r="B37" s="7"/>
      <c r="C37" s="29" t="str">
        <f>BI_BASE!A31</f>
        <v>Jul</v>
      </c>
      <c r="D37" s="31">
        <f>BI_BASE!B31</f>
        <v>0</v>
      </c>
      <c r="E37" s="31">
        <f>BI_BASE!C31</f>
        <v>0</v>
      </c>
      <c r="F37" s="31">
        <f>BI_BASE!D31</f>
        <v>0</v>
      </c>
      <c r="G37" s="28"/>
      <c r="H37" s="7"/>
      <c r="I37" s="7"/>
      <c r="J37" s="7"/>
      <c r="K37" s="7"/>
      <c r="L37" s="7"/>
      <c r="M37" s="7"/>
      <c r="N37" s="7"/>
    </row>
    <row r="38" spans="1:14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</row>
    <row r="39" spans="1:14">
      <c r="A39" s="5"/>
      <c r="B39" s="7"/>
      <c r="C39" s="102" t="s">
        <v>61</v>
      </c>
      <c r="D39" s="103"/>
      <c r="E39" s="103"/>
      <c r="F39" s="103"/>
      <c r="G39" s="101"/>
      <c r="H39" s="102" t="s">
        <v>62</v>
      </c>
      <c r="I39" s="103"/>
      <c r="J39" s="103"/>
      <c r="K39" s="103"/>
      <c r="L39" s="101"/>
      <c r="M39" s="7"/>
      <c r="N39" s="7"/>
    </row>
    <row r="40" spans="1:14">
      <c r="A40" s="5"/>
      <c r="B40" s="7"/>
      <c r="C40" s="27" t="s">
        <v>12</v>
      </c>
      <c r="D40" s="27" t="s">
        <v>63</v>
      </c>
      <c r="E40" s="28"/>
      <c r="F40" s="27" t="s">
        <v>64</v>
      </c>
      <c r="G40" s="28"/>
      <c r="H40" s="27" t="s">
        <v>12</v>
      </c>
      <c r="I40" s="27" t="s">
        <v>26</v>
      </c>
      <c r="J40" s="27" t="s">
        <v>27</v>
      </c>
      <c r="K40" s="28"/>
      <c r="L40" s="28"/>
      <c r="M40" s="7"/>
      <c r="N40" s="7"/>
    </row>
    <row r="41" spans="1:14">
      <c r="A41" s="5"/>
      <c r="B41" s="7"/>
      <c r="C41" s="29"/>
      <c r="D41" s="105"/>
      <c r="E41" s="101"/>
      <c r="F41" s="29"/>
      <c r="G41" s="28"/>
      <c r="H41" s="29"/>
      <c r="I41" s="29"/>
      <c r="J41" s="105"/>
      <c r="K41" s="106"/>
      <c r="L41" s="107"/>
      <c r="M41" s="7"/>
      <c r="N41" s="7"/>
    </row>
    <row r="42" spans="1:14">
      <c r="A42" s="5"/>
      <c r="B42" s="7"/>
      <c r="C42" s="29"/>
      <c r="D42" s="105"/>
      <c r="E42" s="101"/>
      <c r="F42" s="29"/>
      <c r="G42" s="28"/>
      <c r="H42" s="29"/>
      <c r="I42" s="29"/>
      <c r="J42" s="105"/>
      <c r="K42" s="106"/>
      <c r="L42" s="107"/>
      <c r="M42" s="7"/>
      <c r="N42" s="7"/>
    </row>
    <row r="43" spans="1:14">
      <c r="A43" s="5"/>
      <c r="B43" s="7"/>
      <c r="C43" s="29"/>
      <c r="D43" s="105"/>
      <c r="E43" s="101"/>
      <c r="F43" s="29"/>
      <c r="G43" s="28"/>
      <c r="H43" s="29"/>
      <c r="I43" s="29"/>
      <c r="J43" s="105"/>
      <c r="K43" s="106"/>
      <c r="L43" s="107"/>
      <c r="M43" s="7"/>
      <c r="N43" s="7"/>
    </row>
    <row r="44" spans="1:14">
      <c r="A44" s="5"/>
      <c r="B44" s="7"/>
      <c r="C44" s="29"/>
      <c r="D44" s="105"/>
      <c r="E44" s="101"/>
      <c r="F44" s="29"/>
      <c r="G44" s="28"/>
      <c r="H44" s="29"/>
      <c r="I44" s="29"/>
      <c r="J44" s="105"/>
      <c r="K44" s="106"/>
      <c r="L44" s="107"/>
      <c r="M44" s="7"/>
      <c r="N44" s="7"/>
    </row>
    <row r="45" spans="1:14">
      <c r="A45" s="5"/>
      <c r="B45" s="7"/>
      <c r="C45" s="29"/>
      <c r="D45" s="105"/>
      <c r="E45" s="101"/>
      <c r="F45" s="29"/>
      <c r="G45" s="28"/>
      <c r="H45" s="29"/>
      <c r="I45" s="29"/>
      <c r="J45" s="105"/>
      <c r="K45" s="106"/>
      <c r="L45" s="107"/>
      <c r="M45" s="7"/>
      <c r="N45" s="7"/>
    </row>
    <row r="46" spans="1:14">
      <c r="A46" s="5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14">
      <c r="A47" s="5"/>
      <c r="B47" s="7"/>
      <c r="C47" s="94" t="s">
        <v>65</v>
      </c>
      <c r="D47" s="87"/>
      <c r="E47" s="87"/>
      <c r="F47" s="87"/>
      <c r="G47" s="87"/>
      <c r="H47" s="87"/>
      <c r="I47" s="87"/>
      <c r="J47" s="87"/>
      <c r="K47" s="87"/>
      <c r="L47" s="7"/>
      <c r="M47" s="7"/>
      <c r="N47" s="7"/>
    </row>
    <row r="48" spans="1:14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>
      <c r="A49" s="5"/>
      <c r="B49" s="7"/>
      <c r="C49" s="115" t="s">
        <v>66</v>
      </c>
      <c r="D49" s="87"/>
      <c r="E49" s="87"/>
      <c r="F49" s="87"/>
      <c r="G49" s="87"/>
      <c r="H49" s="87"/>
      <c r="I49" s="87"/>
      <c r="J49" s="87"/>
      <c r="K49" s="87"/>
      <c r="L49" s="7"/>
      <c r="M49" s="7"/>
      <c r="N49" s="7"/>
    </row>
    <row r="50" spans="1:14" ht="19.95" customHeight="1">
      <c r="A50" s="5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ht="19.95" customHeight="1">
      <c r="A51" s="5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ht="19.95" customHeight="1">
      <c r="A52" s="5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>
      <c r="A53" s="5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>
      <c r="A54" s="5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>
      <c r="A55" s="5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>
      <c r="A56" s="5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</sheetData>
  <mergeCells count="57">
    <mergeCell ref="C5:H5"/>
    <mergeCell ref="H15:I15"/>
    <mergeCell ref="D44:E44"/>
    <mergeCell ref="I5:L5"/>
    <mergeCell ref="J44:L44"/>
    <mergeCell ref="E13:F14"/>
    <mergeCell ref="C49:K49"/>
    <mergeCell ref="C22:F22"/>
    <mergeCell ref="H12:I12"/>
    <mergeCell ref="J12:K12"/>
    <mergeCell ref="D42:E42"/>
    <mergeCell ref="H7:I7"/>
    <mergeCell ref="C18:D19"/>
    <mergeCell ref="D43:E43"/>
    <mergeCell ref="J7:K7"/>
    <mergeCell ref="E8:F9"/>
    <mergeCell ref="C39:G39"/>
    <mergeCell ref="C17:D17"/>
    <mergeCell ref="H22:L22"/>
    <mergeCell ref="J13:K14"/>
    <mergeCell ref="C7:D7"/>
    <mergeCell ref="E7:F7"/>
    <mergeCell ref="J43:L43"/>
    <mergeCell ref="H8:I9"/>
    <mergeCell ref="J8:K9"/>
    <mergeCell ref="E18:F19"/>
    <mergeCell ref="H17:I17"/>
    <mergeCell ref="J20:K20"/>
    <mergeCell ref="E15:F15"/>
    <mergeCell ref="J42:L42"/>
    <mergeCell ref="E20:F20"/>
    <mergeCell ref="H39:L39"/>
    <mergeCell ref="C10:D10"/>
    <mergeCell ref="J17:K17"/>
    <mergeCell ref="J41:L41"/>
    <mergeCell ref="E10:F10"/>
    <mergeCell ref="J15:K15"/>
    <mergeCell ref="H18:I19"/>
    <mergeCell ref="D41:E41"/>
    <mergeCell ref="C13:D14"/>
    <mergeCell ref="C12:D12"/>
    <mergeCell ref="C47:K47"/>
    <mergeCell ref="E12:F12"/>
    <mergeCell ref="C1:K1"/>
    <mergeCell ref="C30:G30"/>
    <mergeCell ref="H20:I20"/>
    <mergeCell ref="C15:D15"/>
    <mergeCell ref="H10:I10"/>
    <mergeCell ref="J10:K10"/>
    <mergeCell ref="J45:L45"/>
    <mergeCell ref="E17:F17"/>
    <mergeCell ref="D45:E45"/>
    <mergeCell ref="H13:I14"/>
    <mergeCell ref="C8:D9"/>
    <mergeCell ref="C2:K2"/>
    <mergeCell ref="C20:D20"/>
    <mergeCell ref="J18:K19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D4AF37"/>
  </sheetPr>
  <dimension ref="A1:J48"/>
  <sheetViews>
    <sheetView showGridLines="0" workbookViewId="0"/>
  </sheetViews>
  <sheetFormatPr defaultRowHeight="14.4"/>
  <cols>
    <col min="1" max="1" width="24" customWidth="1"/>
    <col min="2" max="2" width="3" customWidth="1"/>
    <col min="3" max="3" width="22" customWidth="1"/>
    <col min="4" max="4" width="28" customWidth="1"/>
    <col min="5" max="6" width="14" customWidth="1"/>
    <col min="7" max="7" width="16" customWidth="1"/>
    <col min="8" max="8" width="14" customWidth="1"/>
  </cols>
  <sheetData>
    <row r="1" spans="1:10" ht="30" customHeight="1">
      <c r="A1" s="5"/>
      <c r="B1" s="1"/>
      <c r="C1" s="96" t="s">
        <v>0</v>
      </c>
      <c r="D1" s="87"/>
      <c r="E1" s="87"/>
      <c r="F1" s="87"/>
      <c r="G1" s="87"/>
      <c r="H1" s="1"/>
      <c r="I1" s="6" t="s">
        <v>7</v>
      </c>
      <c r="J1" s="7"/>
    </row>
    <row r="2" spans="1:10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9"/>
      <c r="I2" s="10" t="str">
        <f ca="1">TEXT(DAY(NOW()),"00")&amp;"/"&amp;TEXT(MONTH(NOW()),"00")&amp;"/"&amp;YEAR(NOW())&amp;" "&amp;TEXT(HOUR(NOW()),"00")&amp;":"&amp;TEXT(MINUTE(NOW()),"00")</f>
        <v>22/07/2026 14:42</v>
      </c>
      <c r="J2" s="7"/>
    </row>
    <row r="3" spans="1:10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7"/>
    </row>
    <row r="4" spans="1:10" ht="6" customHeight="1">
      <c r="A4" s="12"/>
      <c r="B4" s="7"/>
      <c r="C4" s="7"/>
      <c r="D4" s="7"/>
      <c r="E4" s="7"/>
      <c r="F4" s="7"/>
      <c r="G4" s="7"/>
      <c r="H4" s="7"/>
      <c r="I4" s="7"/>
      <c r="J4" s="7"/>
    </row>
    <row r="5" spans="1:10" ht="22.8">
      <c r="A5" s="5"/>
      <c r="B5" s="7"/>
      <c r="C5" s="98" t="s">
        <v>67</v>
      </c>
      <c r="D5" s="87"/>
      <c r="E5" s="87"/>
      <c r="F5" s="7"/>
      <c r="G5" s="7"/>
      <c r="H5" s="7"/>
      <c r="I5" s="7"/>
      <c r="J5" s="7"/>
    </row>
    <row r="6" spans="1:10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</row>
    <row r="7" spans="1:10" ht="34.049999999999997" customHeight="1">
      <c r="A7" s="17"/>
      <c r="B7" s="7"/>
      <c r="C7" s="28"/>
      <c r="D7" s="28"/>
      <c r="E7" s="28"/>
      <c r="F7" s="7" t="s">
        <v>68</v>
      </c>
      <c r="G7" s="7">
        <v>0</v>
      </c>
      <c r="H7" s="7"/>
      <c r="I7" s="7"/>
      <c r="J7" s="7"/>
    </row>
    <row r="8" spans="1:10" ht="18" customHeight="1">
      <c r="A8" s="17"/>
      <c r="B8" s="7"/>
      <c r="C8" s="32" t="s">
        <v>69</v>
      </c>
      <c r="D8" s="117"/>
      <c r="E8" s="117"/>
      <c r="F8" s="7" t="s">
        <v>70</v>
      </c>
      <c r="G8" s="7"/>
      <c r="H8" s="7" t="s">
        <v>71</v>
      </c>
      <c r="I8" s="7"/>
      <c r="J8" s="7"/>
    </row>
    <row r="9" spans="1:10" ht="18" customHeight="1">
      <c r="A9" s="17"/>
      <c r="B9" s="7"/>
      <c r="C9" s="32" t="s">
        <v>72</v>
      </c>
      <c r="D9" s="118"/>
      <c r="E9" s="117"/>
      <c r="F9" s="7" t="s">
        <v>73</v>
      </c>
      <c r="G9" s="7"/>
      <c r="H9" s="7" t="s">
        <v>74</v>
      </c>
      <c r="I9" s="7"/>
      <c r="J9" s="7"/>
    </row>
    <row r="10" spans="1:10" ht="18" customHeight="1">
      <c r="A10" s="17"/>
      <c r="B10" s="7"/>
      <c r="C10" s="32" t="s">
        <v>75</v>
      </c>
      <c r="D10" s="117"/>
      <c r="E10" s="117"/>
      <c r="F10" s="7"/>
      <c r="G10" s="7"/>
      <c r="H10" s="7"/>
      <c r="I10" s="7"/>
      <c r="J10" s="7"/>
    </row>
    <row r="11" spans="1:10" ht="18" customHeight="1">
      <c r="A11" s="17"/>
      <c r="B11" s="7"/>
      <c r="C11" s="32" t="s">
        <v>76</v>
      </c>
      <c r="D11" s="117"/>
      <c r="E11" s="117"/>
      <c r="F11" s="7"/>
      <c r="G11" s="121"/>
      <c r="H11" s="87"/>
      <c r="I11" s="87"/>
      <c r="J11" s="7"/>
    </row>
    <row r="12" spans="1:10" ht="18" customHeight="1">
      <c r="A12" s="17"/>
      <c r="B12" s="7"/>
      <c r="C12" s="32" t="s">
        <v>77</v>
      </c>
      <c r="D12" s="120" t="str">
        <f>IF(D10="","",IFERROR(VLOOKUP(D10,'15_CONFIG'!$A$8:$B$20,2,FALSE),""))</f>
        <v/>
      </c>
      <c r="E12" s="117"/>
      <c r="F12" s="7"/>
      <c r="G12" s="119"/>
      <c r="H12" s="87"/>
      <c r="I12" s="87"/>
      <c r="J12" s="7"/>
    </row>
    <row r="13" spans="1:10" ht="18" customHeight="1">
      <c r="A13" s="17"/>
      <c r="B13" s="7"/>
      <c r="C13" s="32" t="s">
        <v>78</v>
      </c>
      <c r="D13" s="117" t="s">
        <v>79</v>
      </c>
      <c r="E13" s="117"/>
      <c r="F13" s="7"/>
      <c r="G13" s="7"/>
      <c r="H13" s="7"/>
      <c r="I13" s="7"/>
      <c r="J13" s="7"/>
    </row>
    <row r="14" spans="1:10" ht="18" customHeight="1">
      <c r="A14" s="15"/>
      <c r="B14" s="7"/>
      <c r="C14" s="32" t="s">
        <v>80</v>
      </c>
      <c r="D14" s="118"/>
      <c r="E14" s="117"/>
      <c r="F14" s="7"/>
      <c r="G14" s="7"/>
      <c r="H14" s="7"/>
      <c r="I14" s="7"/>
      <c r="J14" s="7"/>
    </row>
    <row r="15" spans="1:10" ht="18" customHeight="1">
      <c r="A15" s="17"/>
      <c r="B15" s="7"/>
      <c r="C15" s="32" t="s">
        <v>81</v>
      </c>
      <c r="D15" s="117"/>
      <c r="E15" s="117"/>
      <c r="F15" s="7"/>
      <c r="G15" s="7"/>
      <c r="H15" s="7"/>
      <c r="I15" s="7"/>
      <c r="J15" s="7"/>
    </row>
    <row r="16" spans="1:10" ht="18" customHeight="1">
      <c r="A16" s="17"/>
      <c r="B16" s="7"/>
      <c r="C16" s="32" t="s">
        <v>82</v>
      </c>
      <c r="D16" s="118"/>
      <c r="E16" s="117"/>
      <c r="F16" s="7"/>
      <c r="G16" s="7"/>
      <c r="H16" s="7"/>
      <c r="I16" s="7"/>
      <c r="J16" s="7"/>
    </row>
    <row r="17" spans="1:10" ht="18" customHeight="1">
      <c r="A17" s="17"/>
      <c r="B17" s="7"/>
      <c r="C17" s="32" t="s">
        <v>83</v>
      </c>
      <c r="D17" s="118"/>
      <c r="E17" s="117"/>
      <c r="F17" s="7"/>
      <c r="G17" s="7"/>
      <c r="H17" s="7"/>
      <c r="I17" s="7"/>
      <c r="J17" s="7"/>
    </row>
    <row r="18" spans="1:10" ht="18" customHeight="1">
      <c r="A18" s="17"/>
      <c r="B18" s="7"/>
      <c r="C18" s="32" t="s">
        <v>84</v>
      </c>
      <c r="D18" s="118"/>
      <c r="E18" s="117"/>
      <c r="F18" s="7"/>
      <c r="G18" s="7"/>
      <c r="H18" s="7"/>
      <c r="I18" s="7"/>
      <c r="J18" s="7"/>
    </row>
    <row r="19" spans="1:10" ht="18" customHeight="1">
      <c r="A19" s="17"/>
      <c r="B19" s="7"/>
      <c r="C19" s="32" t="s">
        <v>85</v>
      </c>
      <c r="D19" s="118"/>
      <c r="E19" s="117"/>
      <c r="F19" s="7"/>
      <c r="G19" s="7"/>
      <c r="H19" s="7"/>
      <c r="I19" s="7"/>
      <c r="J19" s="7"/>
    </row>
    <row r="20" spans="1:10" ht="18" customHeight="1">
      <c r="A20" s="17"/>
      <c r="B20" s="7"/>
      <c r="C20" s="32" t="s">
        <v>86</v>
      </c>
      <c r="D20" s="117"/>
      <c r="E20" s="117"/>
      <c r="F20" s="7"/>
      <c r="G20" s="7"/>
      <c r="H20" s="7"/>
      <c r="I20" s="7"/>
      <c r="J20" s="7"/>
    </row>
    <row r="21" spans="1:10" ht="18" customHeight="1">
      <c r="A21" s="17"/>
      <c r="B21" s="7"/>
      <c r="C21" s="32" t="s">
        <v>87</v>
      </c>
      <c r="D21" s="118"/>
      <c r="E21" s="117"/>
      <c r="F21" s="7"/>
      <c r="G21" s="7"/>
      <c r="H21" s="7"/>
      <c r="I21" s="7"/>
      <c r="J21" s="7"/>
    </row>
    <row r="22" spans="1:10" ht="18" customHeight="1">
      <c r="A22" s="17"/>
      <c r="B22" s="7"/>
      <c r="C22" s="32" t="s">
        <v>88</v>
      </c>
      <c r="D22" s="117"/>
      <c r="E22" s="117"/>
      <c r="F22" s="7"/>
      <c r="G22" s="7"/>
      <c r="H22" s="7"/>
      <c r="I22" s="7"/>
      <c r="J22" s="7"/>
    </row>
    <row r="23" spans="1:10" ht="18" customHeight="1">
      <c r="A23" s="17"/>
      <c r="B23" s="7"/>
      <c r="C23" s="32" t="s">
        <v>89</v>
      </c>
      <c r="D23" s="117" t="s">
        <v>90</v>
      </c>
      <c r="E23" s="117"/>
      <c r="F23" s="7"/>
      <c r="G23" s="7"/>
      <c r="H23" s="7"/>
      <c r="I23" s="7"/>
      <c r="J23" s="7"/>
    </row>
    <row r="24" spans="1:10" ht="18" customHeight="1">
      <c r="A24" s="5"/>
      <c r="B24" s="7"/>
      <c r="C24" s="32" t="s">
        <v>91</v>
      </c>
      <c r="D24" s="117">
        <v>10</v>
      </c>
      <c r="E24" s="117"/>
      <c r="F24" s="7"/>
      <c r="G24" s="7"/>
      <c r="H24" s="7"/>
      <c r="I24" s="7"/>
      <c r="J24" s="7"/>
    </row>
    <row r="25" spans="1:10" ht="24" customHeight="1">
      <c r="A25" s="5"/>
      <c r="B25" s="7"/>
      <c r="C25" s="7"/>
      <c r="D25" s="7"/>
      <c r="E25" s="7"/>
      <c r="F25" s="7"/>
      <c r="G25" s="7"/>
      <c r="H25" s="7"/>
      <c r="I25" s="7"/>
      <c r="J25" s="7"/>
    </row>
    <row r="26" spans="1:10" ht="24" customHeight="1">
      <c r="A26" s="5"/>
      <c r="B26" s="7"/>
      <c r="C26" s="7"/>
      <c r="D26" s="7"/>
      <c r="E26" s="7"/>
      <c r="F26" s="7"/>
      <c r="G26" s="7"/>
      <c r="H26" s="7"/>
      <c r="I26" s="7"/>
      <c r="J26" s="7"/>
    </row>
    <row r="27" spans="1:10" ht="24" customHeight="1">
      <c r="A27" s="5"/>
      <c r="B27" s="7"/>
      <c r="C27" s="7"/>
      <c r="D27" s="7"/>
      <c r="E27" s="7"/>
      <c r="F27" s="7"/>
      <c r="G27" s="7"/>
      <c r="H27" s="7"/>
      <c r="I27" s="7"/>
      <c r="J27" s="7"/>
    </row>
    <row r="28" spans="1:10" ht="24" customHeight="1">
      <c r="A28" s="5"/>
      <c r="B28" s="7"/>
      <c r="C28" s="7"/>
      <c r="D28" s="7"/>
      <c r="E28" s="7"/>
      <c r="F28" s="7"/>
      <c r="G28" s="7"/>
      <c r="H28" s="7"/>
      <c r="I28" s="7"/>
      <c r="J28" s="7"/>
    </row>
    <row r="29" spans="1:10" ht="24" customHeight="1">
      <c r="A29" s="5"/>
      <c r="B29" s="7"/>
      <c r="C29" s="7"/>
      <c r="D29" s="7"/>
      <c r="E29" s="7"/>
      <c r="F29" s="7"/>
      <c r="G29" s="7"/>
      <c r="H29" s="7"/>
      <c r="I29" s="7"/>
      <c r="J29" s="7"/>
    </row>
    <row r="30" spans="1:10" ht="24" customHeight="1">
      <c r="A30" s="5"/>
      <c r="B30" s="7"/>
      <c r="C30" s="7"/>
      <c r="D30" s="7"/>
      <c r="E30" s="7"/>
      <c r="F30" s="7"/>
      <c r="G30" s="7"/>
      <c r="H30" s="7"/>
      <c r="I30" s="7"/>
      <c r="J30" s="7"/>
    </row>
    <row r="31" spans="1:10">
      <c r="A31" s="5"/>
      <c r="B31" s="7"/>
      <c r="C31" s="7"/>
      <c r="D31" s="7"/>
      <c r="E31" s="7"/>
      <c r="F31" s="7"/>
      <c r="G31" s="7"/>
      <c r="H31" s="7"/>
      <c r="I31" s="7"/>
      <c r="J31" s="7"/>
    </row>
    <row r="32" spans="1:10">
      <c r="A32" s="5"/>
      <c r="B32" s="7"/>
      <c r="C32" s="7"/>
      <c r="D32" s="7"/>
      <c r="E32" s="7"/>
      <c r="F32" s="7"/>
      <c r="G32" s="7"/>
      <c r="H32" s="7"/>
      <c r="I32" s="7"/>
      <c r="J32" s="7"/>
    </row>
    <row r="33" spans="1:10">
      <c r="A33" s="5"/>
      <c r="B33" s="7"/>
      <c r="C33" s="7"/>
      <c r="D33" s="7"/>
      <c r="E33" s="7"/>
      <c r="F33" s="7"/>
      <c r="G33" s="7"/>
      <c r="H33" s="7"/>
      <c r="I33" s="7"/>
      <c r="J33" s="7"/>
    </row>
    <row r="34" spans="1:10">
      <c r="A34" s="5"/>
      <c r="B34" s="7"/>
      <c r="C34" s="7"/>
      <c r="D34" s="7"/>
      <c r="E34" s="7"/>
      <c r="F34" s="7"/>
      <c r="G34" s="7"/>
      <c r="H34" s="7"/>
      <c r="I34" s="7"/>
      <c r="J34" s="7"/>
    </row>
    <row r="35" spans="1:10">
      <c r="A35" s="5"/>
      <c r="B35" s="7"/>
      <c r="C35" s="7"/>
      <c r="D35" s="7"/>
      <c r="E35" s="7"/>
      <c r="F35" s="7"/>
      <c r="G35" s="7"/>
      <c r="H35" s="7"/>
      <c r="I35" s="7"/>
      <c r="J35" s="7"/>
    </row>
    <row r="36" spans="1:10">
      <c r="A36" s="5"/>
      <c r="B36" s="7"/>
      <c r="C36" s="7"/>
      <c r="D36" s="7"/>
      <c r="E36" s="7"/>
      <c r="F36" s="7"/>
      <c r="G36" s="7"/>
      <c r="H36" s="7"/>
      <c r="I36" s="7"/>
      <c r="J36" s="7"/>
    </row>
    <row r="37" spans="1:10">
      <c r="A37" s="5"/>
      <c r="B37" s="7"/>
      <c r="C37" s="7"/>
      <c r="D37" s="7"/>
      <c r="E37" s="7"/>
      <c r="F37" s="7"/>
      <c r="G37" s="7"/>
      <c r="H37" s="7"/>
      <c r="I37" s="7"/>
      <c r="J37" s="7"/>
    </row>
    <row r="38" spans="1:10">
      <c r="A38" s="5"/>
      <c r="B38" s="7"/>
      <c r="C38" s="7"/>
      <c r="D38" s="7"/>
      <c r="E38" s="7"/>
      <c r="F38" s="7"/>
      <c r="G38" s="7"/>
      <c r="H38" s="7"/>
      <c r="I38" s="7"/>
      <c r="J38" s="7"/>
    </row>
    <row r="39" spans="1:10">
      <c r="A39" s="5"/>
      <c r="B39" s="7"/>
      <c r="C39" s="7"/>
      <c r="D39" s="7"/>
      <c r="E39" s="7"/>
      <c r="F39" s="7"/>
      <c r="G39" s="7"/>
      <c r="H39" s="7"/>
      <c r="I39" s="7"/>
      <c r="J39" s="7"/>
    </row>
    <row r="40" spans="1:10">
      <c r="A40" s="5"/>
      <c r="B40" s="7"/>
      <c r="C40" s="7"/>
      <c r="D40" s="7"/>
      <c r="E40" s="7"/>
      <c r="F40" s="7"/>
      <c r="G40" s="7"/>
      <c r="H40" s="7"/>
      <c r="I40" s="7"/>
      <c r="J40" s="7"/>
    </row>
    <row r="41" spans="1:10">
      <c r="A41" s="5"/>
      <c r="B41" s="7"/>
      <c r="C41" s="7"/>
      <c r="D41" s="7"/>
      <c r="E41" s="7"/>
      <c r="F41" s="7"/>
      <c r="G41" s="7"/>
      <c r="H41" s="7"/>
      <c r="I41" s="7"/>
      <c r="J41" s="7"/>
    </row>
    <row r="42" spans="1:10">
      <c r="A42" s="5"/>
      <c r="B42" s="7"/>
      <c r="C42" s="7"/>
      <c r="D42" s="7"/>
      <c r="E42" s="7"/>
      <c r="F42" s="7"/>
      <c r="G42" s="7"/>
      <c r="H42" s="7"/>
      <c r="I42" s="7"/>
      <c r="J42" s="7"/>
    </row>
    <row r="43" spans="1:10">
      <c r="A43" s="5"/>
      <c r="B43" s="7"/>
      <c r="C43" s="7"/>
      <c r="D43" s="7"/>
      <c r="E43" s="7"/>
      <c r="F43" s="7"/>
      <c r="G43" s="7"/>
      <c r="H43" s="7"/>
      <c r="I43" s="7"/>
      <c r="J43" s="7"/>
    </row>
    <row r="44" spans="1:10">
      <c r="A44" s="5"/>
      <c r="B44" s="7"/>
      <c r="C44" s="7"/>
      <c r="D44" s="7"/>
      <c r="E44" s="7"/>
      <c r="F44" s="7"/>
      <c r="G44" s="7"/>
      <c r="H44" s="7"/>
      <c r="I44" s="7"/>
      <c r="J44" s="7"/>
    </row>
    <row r="45" spans="1:10">
      <c r="A45" s="5"/>
      <c r="B45" s="7"/>
      <c r="C45" s="7"/>
      <c r="D45" s="7"/>
      <c r="E45" s="7"/>
      <c r="F45" s="7"/>
      <c r="G45" s="7"/>
      <c r="H45" s="7"/>
      <c r="I45" s="7"/>
      <c r="J45" s="7"/>
    </row>
    <row r="46" spans="1:10">
      <c r="A46" s="5"/>
      <c r="B46" s="7"/>
      <c r="C46" s="7"/>
      <c r="D46" s="7"/>
      <c r="E46" s="7"/>
      <c r="F46" s="7"/>
      <c r="G46" s="7"/>
      <c r="H46" s="7"/>
      <c r="I46" s="7"/>
      <c r="J46" s="7"/>
    </row>
    <row r="47" spans="1:10">
      <c r="A47" s="5"/>
      <c r="B47" s="7"/>
      <c r="C47" s="7"/>
      <c r="D47" s="7"/>
      <c r="E47" s="7"/>
      <c r="F47" s="7"/>
      <c r="G47" s="7"/>
      <c r="H47" s="7"/>
      <c r="I47" s="7"/>
      <c r="J47" s="7"/>
    </row>
    <row r="48" spans="1:10">
      <c r="A48" s="5"/>
      <c r="B48" s="7"/>
      <c r="C48" s="7"/>
      <c r="D48" s="7"/>
      <c r="E48" s="7"/>
      <c r="F48" s="7"/>
      <c r="G48" s="7"/>
      <c r="H48" s="7"/>
      <c r="I48" s="7"/>
      <c r="J48" s="7"/>
    </row>
  </sheetData>
  <mergeCells count="22">
    <mergeCell ref="D24:E24"/>
    <mergeCell ref="C5:E5"/>
    <mergeCell ref="D15:E15"/>
    <mergeCell ref="D23:E23"/>
    <mergeCell ref="D14:E14"/>
    <mergeCell ref="C1:G1"/>
    <mergeCell ref="D17:E17"/>
    <mergeCell ref="D16:E16"/>
    <mergeCell ref="C2:G2"/>
    <mergeCell ref="G12:I12"/>
    <mergeCell ref="D9:E9"/>
    <mergeCell ref="D12:E12"/>
    <mergeCell ref="G11:I11"/>
    <mergeCell ref="D8:E8"/>
    <mergeCell ref="D20:E20"/>
    <mergeCell ref="D10:E10"/>
    <mergeCell ref="D19:E19"/>
    <mergeCell ref="D22:E22"/>
    <mergeCell ref="D21:E21"/>
    <mergeCell ref="D11:E11"/>
    <mergeCell ref="D13:E13"/>
    <mergeCell ref="D18:E18"/>
  </mergeCell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300-000000000000}">
          <x14:formula1>
            <xm:f>'15_CONFIG'!$A$8:$A$13</xm:f>
          </x14:formula1>
          <xm:sqref>D10</xm:sqref>
        </x14:dataValidation>
        <x14:dataValidation type="list" allowBlank="1" xr:uid="{00000000-0002-0000-0300-000001000000}">
          <x14:formula1>
            <xm:f>'08_PROFESSORES'!$B$6:$B$50</xm:f>
          </x14:formula1>
          <xm:sqref>D11</xm:sqref>
        </x14:dataValidation>
        <x14:dataValidation type="list" allowBlank="1" xr:uid="{00000000-0002-0000-0300-000002000000}">
          <x14:formula1>
            <xm:f>'15_CONFIG'!$C$8:$C$20</xm:f>
          </x14:formula1>
          <xm:sqref>D13</xm:sqref>
        </x14:dataValidation>
        <x14:dataValidation type="list" allowBlank="1" xr:uid="{00000000-0002-0000-0300-000003000000}">
          <x14:formula1>
            <xm:f>'15_CONFIG'!$O$8:$O$12</xm:f>
          </x14:formula1>
          <xm:sqref>D15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A3001E"/>
  </sheetPr>
  <dimension ref="A1:W62"/>
  <sheetViews>
    <sheetView showGridLines="0"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4.4"/>
  <cols>
    <col min="1" max="1" width="6" customWidth="1"/>
    <col min="2" max="2" width="12" customWidth="1"/>
    <col min="3" max="3" width="22" customWidth="1"/>
    <col min="4" max="4" width="15" customWidth="1"/>
    <col min="5" max="5" width="12" customWidth="1"/>
    <col min="6" max="6" width="13" customWidth="1"/>
    <col min="7" max="7" width="10" customWidth="1"/>
    <col min="8" max="9" width="15" customWidth="1"/>
    <col min="10" max="10" width="22" customWidth="1"/>
    <col min="11" max="11" width="11" customWidth="1"/>
    <col min="12" max="12" width="16" customWidth="1"/>
    <col min="13" max="13" width="8" customWidth="1"/>
    <col min="14" max="16" width="12" customWidth="1"/>
    <col min="17" max="17" width="16" customWidth="1"/>
    <col min="18" max="18" width="11" customWidth="1"/>
    <col min="19" max="19" width="14" customWidth="1"/>
    <col min="20" max="21" width="12" customWidth="1"/>
  </cols>
  <sheetData>
    <row r="1" spans="1:23" ht="36" customHeight="1">
      <c r="A1" s="122" t="s">
        <v>92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</row>
    <row r="2" spans="1:23" ht="18" customHeight="1">
      <c r="A2" s="124" t="s">
        <v>93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</row>
    <row r="3" spans="1:23">
      <c r="C3" s="33" t="s">
        <v>94</v>
      </c>
    </row>
    <row r="4" spans="1:23">
      <c r="A4" s="34" t="s">
        <v>95</v>
      </c>
    </row>
    <row r="5" spans="1:23" ht="28.8">
      <c r="A5" s="35" t="s">
        <v>70</v>
      </c>
      <c r="B5" s="35" t="s">
        <v>96</v>
      </c>
      <c r="C5" s="35" t="s">
        <v>97</v>
      </c>
      <c r="D5" s="35" t="s">
        <v>73</v>
      </c>
      <c r="E5" s="35" t="s">
        <v>98</v>
      </c>
      <c r="F5" s="35" t="s">
        <v>99</v>
      </c>
      <c r="G5" s="35" t="s">
        <v>80</v>
      </c>
      <c r="H5" s="35" t="s">
        <v>100</v>
      </c>
      <c r="I5" s="35" t="s">
        <v>81</v>
      </c>
      <c r="J5" s="35" t="s">
        <v>101</v>
      </c>
      <c r="K5" s="35" t="s">
        <v>102</v>
      </c>
      <c r="L5" s="35" t="s">
        <v>84</v>
      </c>
      <c r="M5" s="35" t="s">
        <v>85</v>
      </c>
      <c r="N5" s="35" t="s">
        <v>86</v>
      </c>
      <c r="O5" s="35" t="s">
        <v>87</v>
      </c>
      <c r="P5" s="35" t="s">
        <v>88</v>
      </c>
      <c r="Q5" s="35" t="s">
        <v>89</v>
      </c>
      <c r="R5" s="35" t="s">
        <v>54</v>
      </c>
      <c r="S5" s="35" t="s">
        <v>76</v>
      </c>
      <c r="T5" s="35" t="s">
        <v>103</v>
      </c>
      <c r="U5" s="35" t="s">
        <v>104</v>
      </c>
      <c r="V5" s="35" t="s">
        <v>105</v>
      </c>
      <c r="W5" s="35" t="s">
        <v>106</v>
      </c>
    </row>
    <row r="6" spans="1:23">
      <c r="A6" s="36">
        <v>1</v>
      </c>
      <c r="B6" s="36">
        <v>1</v>
      </c>
      <c r="C6" s="36">
        <v>1</v>
      </c>
      <c r="D6" s="36" t="s">
        <v>107</v>
      </c>
      <c r="E6" s="36" t="s">
        <v>108</v>
      </c>
      <c r="F6" s="36" t="s">
        <v>109</v>
      </c>
      <c r="G6" s="36" t="s">
        <v>110</v>
      </c>
      <c r="H6" s="37">
        <v>34801</v>
      </c>
      <c r="I6" s="36" t="s">
        <v>111</v>
      </c>
      <c r="J6" s="36" t="s">
        <v>112</v>
      </c>
      <c r="K6" s="36" t="s">
        <v>112</v>
      </c>
      <c r="L6" s="36" t="s">
        <v>113</v>
      </c>
      <c r="M6" s="36" t="s">
        <v>114</v>
      </c>
      <c r="N6" s="36" t="s">
        <v>115</v>
      </c>
      <c r="O6" s="36" t="s">
        <v>116</v>
      </c>
      <c r="P6" s="36" t="s">
        <v>117</v>
      </c>
      <c r="Q6" s="36" t="s">
        <v>90</v>
      </c>
      <c r="R6" s="38" t="s">
        <v>118</v>
      </c>
      <c r="S6" s="36" t="s">
        <v>119</v>
      </c>
      <c r="T6" s="36">
        <v>129.9</v>
      </c>
      <c r="U6" s="36" t="s">
        <v>79</v>
      </c>
      <c r="V6" s="37">
        <v>46027</v>
      </c>
      <c r="W6" s="36" t="s">
        <v>120</v>
      </c>
    </row>
    <row r="7" spans="1:23">
      <c r="A7" s="36">
        <v>2</v>
      </c>
      <c r="B7" s="36">
        <v>1</v>
      </c>
      <c r="C7" s="36">
        <v>1</v>
      </c>
      <c r="D7" s="36" t="s">
        <v>121</v>
      </c>
      <c r="E7" s="36" t="s">
        <v>122</v>
      </c>
      <c r="F7" s="36" t="s">
        <v>123</v>
      </c>
      <c r="G7" s="36" t="s">
        <v>124</v>
      </c>
      <c r="H7" s="37">
        <v>33107</v>
      </c>
      <c r="I7" s="36" t="s">
        <v>125</v>
      </c>
      <c r="J7" s="36" t="s">
        <v>126</v>
      </c>
      <c r="K7" s="36" t="s">
        <v>126</v>
      </c>
      <c r="L7" s="36" t="s">
        <v>127</v>
      </c>
      <c r="M7" s="36" t="s">
        <v>114</v>
      </c>
      <c r="N7" s="36" t="s">
        <v>115</v>
      </c>
      <c r="O7" s="36" t="s">
        <v>116</v>
      </c>
      <c r="P7" s="36" t="s">
        <v>117</v>
      </c>
      <c r="Q7" s="36" t="s">
        <v>90</v>
      </c>
      <c r="R7" s="38" t="s">
        <v>128</v>
      </c>
      <c r="S7" s="36" t="s">
        <v>129</v>
      </c>
      <c r="T7" s="36">
        <v>109.9</v>
      </c>
      <c r="U7" s="36" t="s">
        <v>79</v>
      </c>
      <c r="V7" s="37">
        <v>46054</v>
      </c>
      <c r="W7" s="36" t="s">
        <v>120</v>
      </c>
    </row>
    <row r="8" spans="1:23">
      <c r="A8" s="36">
        <v>3</v>
      </c>
      <c r="B8" s="36">
        <v>1</v>
      </c>
      <c r="C8" s="36">
        <v>1</v>
      </c>
      <c r="D8" s="36" t="s">
        <v>130</v>
      </c>
      <c r="E8" s="36" t="s">
        <v>131</v>
      </c>
      <c r="F8" s="36" t="s">
        <v>132</v>
      </c>
      <c r="G8" s="36" t="s">
        <v>133</v>
      </c>
      <c r="H8" s="37">
        <v>35825</v>
      </c>
      <c r="I8" s="36" t="s">
        <v>111</v>
      </c>
      <c r="J8" s="36" t="s">
        <v>134</v>
      </c>
      <c r="K8" s="36" t="s">
        <v>134</v>
      </c>
      <c r="L8" s="36" t="s">
        <v>135</v>
      </c>
      <c r="M8" s="36" t="s">
        <v>114</v>
      </c>
      <c r="N8" s="36" t="s">
        <v>115</v>
      </c>
      <c r="O8" s="36" t="s">
        <v>116</v>
      </c>
      <c r="P8" s="36" t="s">
        <v>117</v>
      </c>
      <c r="Q8" s="36" t="s">
        <v>90</v>
      </c>
      <c r="R8" s="38" t="s">
        <v>136</v>
      </c>
      <c r="S8" s="36" t="s">
        <v>137</v>
      </c>
      <c r="T8" s="36">
        <v>99.9</v>
      </c>
      <c r="U8" s="36" t="s">
        <v>79</v>
      </c>
      <c r="V8" s="37">
        <v>46001</v>
      </c>
      <c r="W8" s="36" t="s">
        <v>120</v>
      </c>
    </row>
    <row r="9" spans="1:23">
      <c r="A9" s="36">
        <v>4</v>
      </c>
      <c r="B9" s="36">
        <v>1</v>
      </c>
      <c r="C9" s="36">
        <v>1</v>
      </c>
      <c r="D9" s="36" t="s">
        <v>138</v>
      </c>
      <c r="E9" s="36" t="s">
        <v>139</v>
      </c>
      <c r="F9" s="36" t="s">
        <v>140</v>
      </c>
      <c r="G9" s="36" t="s">
        <v>141</v>
      </c>
      <c r="H9" s="37">
        <v>32452</v>
      </c>
      <c r="I9" s="36" t="s">
        <v>125</v>
      </c>
      <c r="J9" s="36" t="s">
        <v>142</v>
      </c>
      <c r="K9" s="36" t="s">
        <v>142</v>
      </c>
      <c r="L9" s="36" t="s">
        <v>143</v>
      </c>
      <c r="M9" s="36" t="s">
        <v>114</v>
      </c>
      <c r="N9" s="36" t="s">
        <v>115</v>
      </c>
      <c r="O9" s="36" t="s">
        <v>116</v>
      </c>
      <c r="P9" s="36" t="s">
        <v>117</v>
      </c>
      <c r="Q9" s="36" t="s">
        <v>90</v>
      </c>
      <c r="R9" s="38" t="s">
        <v>144</v>
      </c>
      <c r="S9" s="36" t="s">
        <v>119</v>
      </c>
      <c r="T9" s="36">
        <v>89.9</v>
      </c>
      <c r="U9" s="36" t="s">
        <v>79</v>
      </c>
      <c r="V9" s="37">
        <v>45853</v>
      </c>
      <c r="W9" s="36" t="s">
        <v>145</v>
      </c>
    </row>
    <row r="10" spans="1:23">
      <c r="A10" s="36">
        <v>5</v>
      </c>
      <c r="B10" s="36">
        <v>1</v>
      </c>
      <c r="C10" s="36">
        <v>1</v>
      </c>
      <c r="D10" s="36" t="s">
        <v>146</v>
      </c>
      <c r="E10" s="36" t="s">
        <v>147</v>
      </c>
      <c r="F10" s="36" t="s">
        <v>148</v>
      </c>
      <c r="G10" s="36" t="s">
        <v>149</v>
      </c>
      <c r="H10" s="37">
        <v>37060</v>
      </c>
      <c r="I10" s="36" t="s">
        <v>111</v>
      </c>
      <c r="J10" s="36" t="s">
        <v>150</v>
      </c>
      <c r="K10" s="36" t="s">
        <v>150</v>
      </c>
      <c r="L10" s="36" t="s">
        <v>151</v>
      </c>
      <c r="M10" s="36" t="s">
        <v>114</v>
      </c>
      <c r="N10" s="36" t="s">
        <v>115</v>
      </c>
      <c r="O10" s="36" t="s">
        <v>116</v>
      </c>
      <c r="P10" s="36" t="s">
        <v>117</v>
      </c>
      <c r="Q10" s="36" t="s">
        <v>90</v>
      </c>
      <c r="R10" s="38" t="s">
        <v>118</v>
      </c>
      <c r="S10" s="36" t="s">
        <v>152</v>
      </c>
      <c r="T10" s="36">
        <v>129.9</v>
      </c>
      <c r="U10" s="36" t="s">
        <v>79</v>
      </c>
      <c r="V10" s="37">
        <v>46082</v>
      </c>
      <c r="W10" s="36" t="s">
        <v>120</v>
      </c>
    </row>
    <row r="11" spans="1:23">
      <c r="A11" s="36">
        <v>6</v>
      </c>
      <c r="B11" s="36">
        <v>1</v>
      </c>
      <c r="C11" s="36">
        <v>1</v>
      </c>
      <c r="D11" s="36" t="s">
        <v>153</v>
      </c>
      <c r="E11" s="36" t="s">
        <v>154</v>
      </c>
      <c r="F11" s="36" t="s">
        <v>155</v>
      </c>
      <c r="G11" s="36" t="s">
        <v>156</v>
      </c>
      <c r="H11" s="37">
        <v>34221</v>
      </c>
      <c r="I11" s="36" t="s">
        <v>125</v>
      </c>
      <c r="J11" s="36" t="s">
        <v>157</v>
      </c>
      <c r="K11" s="36" t="s">
        <v>157</v>
      </c>
      <c r="L11" s="36" t="s">
        <v>158</v>
      </c>
      <c r="M11" s="36" t="s">
        <v>114</v>
      </c>
      <c r="N11" s="36" t="s">
        <v>115</v>
      </c>
      <c r="O11" s="36" t="s">
        <v>116</v>
      </c>
      <c r="P11" s="36" t="s">
        <v>117</v>
      </c>
      <c r="Q11" s="36" t="s">
        <v>90</v>
      </c>
      <c r="R11" s="38" t="s">
        <v>159</v>
      </c>
      <c r="S11" s="36" t="s">
        <v>137</v>
      </c>
      <c r="T11" s="36">
        <v>350</v>
      </c>
      <c r="U11" s="36" t="s">
        <v>79</v>
      </c>
      <c r="V11" s="37">
        <v>46042</v>
      </c>
      <c r="W11" s="36" t="s">
        <v>120</v>
      </c>
    </row>
    <row r="12" spans="1:23">
      <c r="A12" s="36">
        <v>7</v>
      </c>
      <c r="B12" s="36">
        <v>1</v>
      </c>
      <c r="C12" s="36">
        <v>1</v>
      </c>
      <c r="D12" s="36" t="s">
        <v>160</v>
      </c>
      <c r="E12" s="36" t="s">
        <v>161</v>
      </c>
      <c r="F12" s="36" t="s">
        <v>162</v>
      </c>
      <c r="G12" s="36" t="s">
        <v>163</v>
      </c>
      <c r="H12" s="37">
        <v>35475</v>
      </c>
      <c r="I12" s="36" t="s">
        <v>111</v>
      </c>
      <c r="J12" s="36" t="s">
        <v>164</v>
      </c>
      <c r="K12" s="36" t="s">
        <v>164</v>
      </c>
      <c r="L12" s="36" t="s">
        <v>165</v>
      </c>
      <c r="M12" s="36" t="s">
        <v>114</v>
      </c>
      <c r="N12" s="36" t="s">
        <v>115</v>
      </c>
      <c r="O12" s="36" t="s">
        <v>116</v>
      </c>
      <c r="P12" s="36" t="s">
        <v>117</v>
      </c>
      <c r="Q12" s="36" t="s">
        <v>90</v>
      </c>
      <c r="R12" s="38" t="s">
        <v>118</v>
      </c>
      <c r="S12" s="36" t="s">
        <v>129</v>
      </c>
      <c r="T12" s="36">
        <v>129.9</v>
      </c>
      <c r="U12" s="36" t="s">
        <v>79</v>
      </c>
      <c r="V12" s="37">
        <v>45931</v>
      </c>
      <c r="W12" s="36" t="s">
        <v>166</v>
      </c>
    </row>
    <row r="13" spans="1:23">
      <c r="A13" s="36">
        <v>8</v>
      </c>
      <c r="B13" s="36">
        <v>1</v>
      </c>
      <c r="C13" s="36">
        <v>1</v>
      </c>
      <c r="D13" s="36" t="s">
        <v>167</v>
      </c>
      <c r="E13" s="36" t="s">
        <v>168</v>
      </c>
      <c r="F13" s="36" t="s">
        <v>169</v>
      </c>
      <c r="G13" s="36" t="s">
        <v>170</v>
      </c>
      <c r="H13" s="37">
        <v>31384</v>
      </c>
      <c r="I13" s="36" t="s">
        <v>125</v>
      </c>
      <c r="J13" s="36" t="s">
        <v>171</v>
      </c>
      <c r="K13" s="36" t="s">
        <v>171</v>
      </c>
      <c r="L13" s="36" t="s">
        <v>172</v>
      </c>
      <c r="M13" s="36" t="s">
        <v>114</v>
      </c>
      <c r="N13" s="36" t="s">
        <v>115</v>
      </c>
      <c r="O13" s="36" t="s">
        <v>116</v>
      </c>
      <c r="P13" s="36" t="s">
        <v>117</v>
      </c>
      <c r="Q13" s="36" t="s">
        <v>90</v>
      </c>
      <c r="R13" s="38" t="s">
        <v>128</v>
      </c>
      <c r="S13" s="36" t="s">
        <v>119</v>
      </c>
      <c r="T13" s="36">
        <v>109.9</v>
      </c>
      <c r="U13" s="36" t="s">
        <v>79</v>
      </c>
      <c r="V13" s="37">
        <v>46113</v>
      </c>
      <c r="W13" s="36" t="s">
        <v>120</v>
      </c>
    </row>
    <row r="14" spans="1:23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</row>
    <row r="15" spans="1:23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</row>
    <row r="16" spans="1:23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</row>
    <row r="17" spans="1:23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</row>
    <row r="18" spans="1:23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</row>
    <row r="19" spans="1:23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</row>
    <row r="20" spans="1:23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</row>
    <row r="21" spans="1:23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</row>
    <row r="22" spans="1:23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</row>
    <row r="23" spans="1:23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</row>
    <row r="24" spans="1:23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</row>
    <row r="25" spans="1:23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</row>
    <row r="26" spans="1:23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</row>
    <row r="27" spans="1:23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</row>
    <row r="28" spans="1:23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</row>
    <row r="29" spans="1:23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</row>
    <row r="30" spans="1:23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</row>
    <row r="31" spans="1:23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</row>
    <row r="32" spans="1:23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</row>
    <row r="33" spans="1:23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</row>
    <row r="34" spans="1:23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</row>
    <row r="35" spans="1:23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</row>
    <row r="36" spans="1:23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</row>
    <row r="37" spans="1:23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</row>
    <row r="38" spans="1:23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</row>
    <row r="39" spans="1:23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</row>
    <row r="40" spans="1:23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</row>
    <row r="41" spans="1:23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</row>
    <row r="42" spans="1:23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</row>
    <row r="43" spans="1:23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</row>
    <row r="44" spans="1:23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</row>
    <row r="45" spans="1:23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</row>
    <row r="46" spans="1:23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</row>
    <row r="47" spans="1:23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</row>
    <row r="48" spans="1:23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</row>
    <row r="49" spans="1:23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</row>
    <row r="50" spans="1:23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</row>
    <row r="51" spans="1:23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</row>
    <row r="52" spans="1:23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</row>
    <row r="53" spans="1:23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</row>
    <row r="54" spans="1:23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</row>
    <row r="55" spans="1:23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</row>
    <row r="56" spans="1:23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</row>
    <row r="57" spans="1:23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</row>
    <row r="58" spans="1:23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</row>
    <row r="59" spans="1:23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</row>
    <row r="60" spans="1:23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</row>
    <row r="61" spans="1:23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</row>
    <row r="62" spans="1:23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</row>
  </sheetData>
  <mergeCells count="2">
    <mergeCell ref="A1:U1"/>
    <mergeCell ref="A2:U2"/>
  </mergeCells>
  <conditionalFormatting sqref="U6:U62">
    <cfRule type="expression" dxfId="12" priority="1">
      <formula>U6="Ativo"</formula>
    </cfRule>
    <cfRule type="expression" dxfId="11" priority="2">
      <formula>U6="Congelado"</formula>
    </cfRule>
    <cfRule type="expression" dxfId="10" priority="3">
      <formula>OR(U6="Cancelado",U6="Inadimplente")</formula>
    </cfRule>
  </conditionalFormatting>
  <hyperlinks>
    <hyperlink ref="C3" location="'FORM_ALUNO'!A1" tooltip="Formulário" display="➕ Abrir formulário de cadastro" xr:uid="{00000000-0004-0000-0400-000000000000}"/>
  </hyperlinks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errorTitle="Valor inválido" error="Selecione um valor da lista." xr:uid="{00000000-0002-0000-0400-000000000000}">
          <x14:formula1>
            <xm:f>'15_CONFIG'!$A$8:$A$13</xm:f>
          </x14:formula1>
          <xm:sqref>P6:P62</xm:sqref>
        </x14:dataValidation>
        <x14:dataValidation type="list" allowBlank="1" showErrorMessage="1" errorTitle="Valor inválido" error="Selecione um valor da lista." xr:uid="{00000000-0002-0000-0400-000001000000}">
          <x14:formula1>
            <xm:f>'08_PROFESSORES'!$B$6:$B$100</xm:f>
          </x14:formula1>
          <xm:sqref>Q6:Q62</xm:sqref>
        </x14:dataValidation>
        <x14:dataValidation type="list" allowBlank="1" showErrorMessage="1" errorTitle="Valor inválido" error="Selecione um valor da lista." xr:uid="{00000000-0002-0000-0400-000002000000}">
          <x14:formula1>
            <xm:f>'15_CONFIG'!$O$8:$O$12</xm:f>
          </x14:formula1>
          <xm:sqref>G6:G62</xm:sqref>
        </x14:dataValidation>
        <x14:dataValidation type="list" allowBlank="1" showErrorMessage="1" errorTitle="Valor inválido" error="Selecione um valor da lista." xr:uid="{00000000-0002-0000-0400-000003000000}">
          <x14:formula1>
            <xm:f>'15_CONFIG'!$K$8:$K$12</xm:f>
          </x14:formula1>
          <xm:sqref>U6:U62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A3001E"/>
  </sheetPr>
  <dimension ref="A1:J76"/>
  <sheetViews>
    <sheetView workbookViewId="0">
      <pane ySplit="5" topLeftCell="A6" activePane="bottomLeft" state="frozen"/>
      <selection pane="bottomLeft"/>
    </sheetView>
  </sheetViews>
  <sheetFormatPr defaultRowHeight="14.4"/>
  <cols>
    <col min="1" max="1" width="24" customWidth="1"/>
    <col min="2" max="2" width="10" customWidth="1"/>
    <col min="3" max="7" width="12" customWidth="1"/>
    <col min="8" max="8" width="16" customWidth="1"/>
    <col min="9" max="9" width="12" customWidth="1"/>
    <col min="10" max="10" width="16" customWidth="1"/>
  </cols>
  <sheetData>
    <row r="1" spans="1:10" ht="36" customHeight="1">
      <c r="A1" s="122" t="s">
        <v>173</v>
      </c>
      <c r="B1" s="123"/>
      <c r="C1" s="123"/>
      <c r="D1" s="123"/>
      <c r="E1" s="123"/>
      <c r="F1" s="123"/>
      <c r="G1" s="123"/>
      <c r="H1" s="123"/>
      <c r="I1" s="123"/>
      <c r="J1" s="123"/>
    </row>
    <row r="2" spans="1:10" ht="18" customHeight="1">
      <c r="A2" s="124" t="s">
        <v>174</v>
      </c>
      <c r="B2" s="125"/>
      <c r="C2" s="125"/>
      <c r="D2" s="125"/>
      <c r="E2" s="125"/>
      <c r="F2" s="125"/>
      <c r="G2" s="125"/>
      <c r="H2" s="125"/>
      <c r="I2" s="125"/>
      <c r="J2" s="125"/>
    </row>
    <row r="3" spans="1:10">
      <c r="H3" s="40" t="s">
        <v>175</v>
      </c>
      <c r="I3" s="41">
        <f>SUMIFS(D6:D76,G6:G76,"&lt;&gt;Pago")</f>
        <v>1279.2000000000003</v>
      </c>
    </row>
    <row r="4" spans="1:10">
      <c r="A4" s="42" t="s">
        <v>176</v>
      </c>
    </row>
    <row r="5" spans="1:10" ht="28.8">
      <c r="A5" s="35" t="s">
        <v>177</v>
      </c>
      <c r="B5" s="35" t="s">
        <v>178</v>
      </c>
      <c r="C5" s="35" t="s">
        <v>179</v>
      </c>
      <c r="D5" s="35" t="s">
        <v>180</v>
      </c>
      <c r="E5" s="35" t="s">
        <v>181</v>
      </c>
      <c r="F5" s="35" t="s">
        <v>182</v>
      </c>
      <c r="G5" s="35" t="s">
        <v>106</v>
      </c>
      <c r="H5" s="35" t="s">
        <v>183</v>
      </c>
      <c r="I5" s="35" t="s">
        <v>184</v>
      </c>
      <c r="J5" s="35" t="s">
        <v>185</v>
      </c>
    </row>
    <row r="6" spans="1:10">
      <c r="A6" s="36" t="s">
        <v>108</v>
      </c>
      <c r="B6" s="36" t="s">
        <v>107</v>
      </c>
      <c r="C6" s="37">
        <v>46113</v>
      </c>
      <c r="D6" s="38">
        <v>129.9</v>
      </c>
      <c r="E6" s="37">
        <v>46122</v>
      </c>
      <c r="F6" s="37">
        <v>46120</v>
      </c>
      <c r="G6" s="36" t="s">
        <v>186</v>
      </c>
      <c r="H6" s="36" t="s">
        <v>79</v>
      </c>
      <c r="I6" s="36">
        <f t="shared" ref="I6:I37" ca="1" si="0">IF(OR(G6="Pago",E6=""),0,MAX(0,TODAY()-E6))</f>
        <v>0</v>
      </c>
      <c r="J6" s="36" t="str">
        <f t="shared" ref="J6:J37" si="1">IF(G6="Pago","🟢 Pago",IF(G6="Vence hoje","🟡 Vence hoje",IF(OR(G6="Atrasado",I6&gt;0),"🔴 Atrasado","⚪ Pendente")))</f>
        <v>🟢 Pago</v>
      </c>
    </row>
    <row r="7" spans="1:10">
      <c r="A7" s="36" t="s">
        <v>108</v>
      </c>
      <c r="B7" s="36" t="s">
        <v>107</v>
      </c>
      <c r="C7" s="37">
        <v>46143</v>
      </c>
      <c r="D7" s="38">
        <v>129.9</v>
      </c>
      <c r="E7" s="37">
        <v>46152</v>
      </c>
      <c r="F7" s="37">
        <v>46150</v>
      </c>
      <c r="G7" s="36" t="s">
        <v>186</v>
      </c>
      <c r="H7" s="36" t="s">
        <v>79</v>
      </c>
      <c r="I7" s="36">
        <f t="shared" ca="1" si="0"/>
        <v>0</v>
      </c>
      <c r="J7" s="36" t="str">
        <f t="shared" si="1"/>
        <v>🟢 Pago</v>
      </c>
    </row>
    <row r="8" spans="1:10">
      <c r="A8" s="36" t="s">
        <v>108</v>
      </c>
      <c r="B8" s="36" t="s">
        <v>107</v>
      </c>
      <c r="C8" s="37">
        <v>46174</v>
      </c>
      <c r="D8" s="38">
        <v>129.9</v>
      </c>
      <c r="E8" s="37">
        <v>46183</v>
      </c>
      <c r="F8" s="37">
        <v>46183</v>
      </c>
      <c r="G8" s="36" t="s">
        <v>186</v>
      </c>
      <c r="H8" s="36" t="s">
        <v>79</v>
      </c>
      <c r="I8" s="36">
        <f t="shared" ca="1" si="0"/>
        <v>0</v>
      </c>
      <c r="J8" s="36" t="str">
        <f t="shared" si="1"/>
        <v>🟢 Pago</v>
      </c>
    </row>
    <row r="9" spans="1:10">
      <c r="A9" s="36" t="s">
        <v>108</v>
      </c>
      <c r="B9" s="36" t="s">
        <v>107</v>
      </c>
      <c r="C9" s="37">
        <v>46204</v>
      </c>
      <c r="D9" s="38">
        <v>129.9</v>
      </c>
      <c r="E9" s="37">
        <v>46213</v>
      </c>
      <c r="F9" s="36"/>
      <c r="G9" s="36" t="s">
        <v>187</v>
      </c>
      <c r="H9" s="36"/>
      <c r="I9" s="36">
        <f t="shared" ca="1" si="0"/>
        <v>12</v>
      </c>
      <c r="J9" s="36" t="str">
        <f t="shared" ca="1" si="1"/>
        <v>🔴 Atrasado</v>
      </c>
    </row>
    <row r="10" spans="1:10">
      <c r="A10" s="36" t="s">
        <v>122</v>
      </c>
      <c r="B10" s="36" t="s">
        <v>121</v>
      </c>
      <c r="C10" s="37">
        <v>46113</v>
      </c>
      <c r="D10" s="38">
        <v>109.9</v>
      </c>
      <c r="E10" s="37">
        <v>46122</v>
      </c>
      <c r="F10" s="37">
        <v>46120</v>
      </c>
      <c r="G10" s="36" t="s">
        <v>186</v>
      </c>
      <c r="H10" s="36" t="s">
        <v>79</v>
      </c>
      <c r="I10" s="36">
        <f t="shared" ca="1" si="0"/>
        <v>0</v>
      </c>
      <c r="J10" s="36" t="str">
        <f t="shared" si="1"/>
        <v>🟢 Pago</v>
      </c>
    </row>
    <row r="11" spans="1:10">
      <c r="A11" s="36" t="s">
        <v>122</v>
      </c>
      <c r="B11" s="36" t="s">
        <v>121</v>
      </c>
      <c r="C11" s="37">
        <v>46143</v>
      </c>
      <c r="D11" s="38">
        <v>109.9</v>
      </c>
      <c r="E11" s="37">
        <v>46152</v>
      </c>
      <c r="F11" s="37">
        <v>46150</v>
      </c>
      <c r="G11" s="36" t="s">
        <v>186</v>
      </c>
      <c r="H11" s="36" t="s">
        <v>79</v>
      </c>
      <c r="I11" s="36">
        <f t="shared" ca="1" si="0"/>
        <v>0</v>
      </c>
      <c r="J11" s="36" t="str">
        <f t="shared" si="1"/>
        <v>🟢 Pago</v>
      </c>
    </row>
    <row r="12" spans="1:10">
      <c r="A12" s="36" t="s">
        <v>122</v>
      </c>
      <c r="B12" s="36" t="s">
        <v>121</v>
      </c>
      <c r="C12" s="37">
        <v>46174</v>
      </c>
      <c r="D12" s="38">
        <v>109.9</v>
      </c>
      <c r="E12" s="37">
        <v>46183</v>
      </c>
      <c r="F12" s="37">
        <v>46183</v>
      </c>
      <c r="G12" s="36" t="s">
        <v>186</v>
      </c>
      <c r="H12" s="36" t="s">
        <v>79</v>
      </c>
      <c r="I12" s="36">
        <f t="shared" ca="1" si="0"/>
        <v>0</v>
      </c>
      <c r="J12" s="36" t="str">
        <f t="shared" si="1"/>
        <v>🟢 Pago</v>
      </c>
    </row>
    <row r="13" spans="1:10">
      <c r="A13" s="36" t="s">
        <v>122</v>
      </c>
      <c r="B13" s="36" t="s">
        <v>121</v>
      </c>
      <c r="C13" s="37">
        <v>46204</v>
      </c>
      <c r="D13" s="38">
        <v>109.9</v>
      </c>
      <c r="E13" s="37">
        <v>46213</v>
      </c>
      <c r="F13" s="36"/>
      <c r="G13" s="36" t="s">
        <v>187</v>
      </c>
      <c r="H13" s="36"/>
      <c r="I13" s="36">
        <f t="shared" ca="1" si="0"/>
        <v>12</v>
      </c>
      <c r="J13" s="36" t="str">
        <f t="shared" ca="1" si="1"/>
        <v>🔴 Atrasado</v>
      </c>
    </row>
    <row r="14" spans="1:10">
      <c r="A14" s="36" t="s">
        <v>131</v>
      </c>
      <c r="B14" s="36" t="s">
        <v>130</v>
      </c>
      <c r="C14" s="37">
        <v>46113</v>
      </c>
      <c r="D14" s="38">
        <v>99.9</v>
      </c>
      <c r="E14" s="37">
        <v>46122</v>
      </c>
      <c r="F14" s="37">
        <v>46120</v>
      </c>
      <c r="G14" s="36" t="s">
        <v>186</v>
      </c>
      <c r="H14" s="36" t="s">
        <v>79</v>
      </c>
      <c r="I14" s="36">
        <f t="shared" ca="1" si="0"/>
        <v>0</v>
      </c>
      <c r="J14" s="36" t="str">
        <f t="shared" si="1"/>
        <v>🟢 Pago</v>
      </c>
    </row>
    <row r="15" spans="1:10">
      <c r="A15" s="36" t="s">
        <v>131</v>
      </c>
      <c r="B15" s="36" t="s">
        <v>130</v>
      </c>
      <c r="C15" s="37">
        <v>46143</v>
      </c>
      <c r="D15" s="38">
        <v>99.9</v>
      </c>
      <c r="E15" s="37">
        <v>46152</v>
      </c>
      <c r="F15" s="37">
        <v>46150</v>
      </c>
      <c r="G15" s="36" t="s">
        <v>186</v>
      </c>
      <c r="H15" s="36" t="s">
        <v>79</v>
      </c>
      <c r="I15" s="36">
        <f t="shared" ca="1" si="0"/>
        <v>0</v>
      </c>
      <c r="J15" s="36" t="str">
        <f t="shared" si="1"/>
        <v>🟢 Pago</v>
      </c>
    </row>
    <row r="16" spans="1:10">
      <c r="A16" s="36" t="s">
        <v>131</v>
      </c>
      <c r="B16" s="36" t="s">
        <v>130</v>
      </c>
      <c r="C16" s="37">
        <v>46174</v>
      </c>
      <c r="D16" s="38">
        <v>99.9</v>
      </c>
      <c r="E16" s="37">
        <v>46183</v>
      </c>
      <c r="F16" s="37">
        <v>46183</v>
      </c>
      <c r="G16" s="36" t="s">
        <v>186</v>
      </c>
      <c r="H16" s="36" t="s">
        <v>79</v>
      </c>
      <c r="I16" s="36">
        <f t="shared" ca="1" si="0"/>
        <v>0</v>
      </c>
      <c r="J16" s="36" t="str">
        <f t="shared" si="1"/>
        <v>🟢 Pago</v>
      </c>
    </row>
    <row r="17" spans="1:10">
      <c r="A17" s="36" t="s">
        <v>131</v>
      </c>
      <c r="B17" s="36" t="s">
        <v>130</v>
      </c>
      <c r="C17" s="37">
        <v>46204</v>
      </c>
      <c r="D17" s="38">
        <v>99.9</v>
      </c>
      <c r="E17" s="37">
        <v>46213</v>
      </c>
      <c r="F17" s="36"/>
      <c r="G17" s="36" t="s">
        <v>187</v>
      </c>
      <c r="H17" s="36"/>
      <c r="I17" s="36">
        <f t="shared" ca="1" si="0"/>
        <v>12</v>
      </c>
      <c r="J17" s="36" t="str">
        <f t="shared" ca="1" si="1"/>
        <v>🔴 Atrasado</v>
      </c>
    </row>
    <row r="18" spans="1:10">
      <c r="A18" s="36" t="s">
        <v>139</v>
      </c>
      <c r="B18" s="36" t="s">
        <v>138</v>
      </c>
      <c r="C18" s="37">
        <v>46113</v>
      </c>
      <c r="D18" s="38">
        <v>89.9</v>
      </c>
      <c r="E18" s="37">
        <v>46122</v>
      </c>
      <c r="F18" s="37">
        <v>46120</v>
      </c>
      <c r="G18" s="36" t="s">
        <v>186</v>
      </c>
      <c r="H18" s="36" t="s">
        <v>79</v>
      </c>
      <c r="I18" s="36">
        <f t="shared" ca="1" si="0"/>
        <v>0</v>
      </c>
      <c r="J18" s="36" t="str">
        <f t="shared" si="1"/>
        <v>🟢 Pago</v>
      </c>
    </row>
    <row r="19" spans="1:10">
      <c r="A19" s="36" t="s">
        <v>139</v>
      </c>
      <c r="B19" s="36" t="s">
        <v>138</v>
      </c>
      <c r="C19" s="37">
        <v>46143</v>
      </c>
      <c r="D19" s="38">
        <v>89.9</v>
      </c>
      <c r="E19" s="37">
        <v>46152</v>
      </c>
      <c r="F19" s="37">
        <v>46150</v>
      </c>
      <c r="G19" s="36" t="s">
        <v>186</v>
      </c>
      <c r="H19" s="36" t="s">
        <v>79</v>
      </c>
      <c r="I19" s="36">
        <f t="shared" ca="1" si="0"/>
        <v>0</v>
      </c>
      <c r="J19" s="36" t="str">
        <f t="shared" si="1"/>
        <v>🟢 Pago</v>
      </c>
    </row>
    <row r="20" spans="1:10">
      <c r="A20" s="36" t="s">
        <v>139</v>
      </c>
      <c r="B20" s="36" t="s">
        <v>138</v>
      </c>
      <c r="C20" s="37">
        <v>46174</v>
      </c>
      <c r="D20" s="38">
        <v>89.9</v>
      </c>
      <c r="E20" s="37">
        <v>46183</v>
      </c>
      <c r="F20" s="37">
        <v>46183</v>
      </c>
      <c r="G20" s="36" t="s">
        <v>186</v>
      </c>
      <c r="H20" s="36" t="s">
        <v>79</v>
      </c>
      <c r="I20" s="36">
        <f t="shared" ca="1" si="0"/>
        <v>0</v>
      </c>
      <c r="J20" s="36" t="str">
        <f t="shared" si="1"/>
        <v>🟢 Pago</v>
      </c>
    </row>
    <row r="21" spans="1:10">
      <c r="A21" s="36" t="s">
        <v>139</v>
      </c>
      <c r="B21" s="36" t="s">
        <v>138</v>
      </c>
      <c r="C21" s="37">
        <v>46204</v>
      </c>
      <c r="D21" s="38">
        <v>89.9</v>
      </c>
      <c r="E21" s="37">
        <v>46213</v>
      </c>
      <c r="F21" s="36"/>
      <c r="G21" s="36" t="s">
        <v>187</v>
      </c>
      <c r="H21" s="36"/>
      <c r="I21" s="36">
        <f t="shared" ca="1" si="0"/>
        <v>12</v>
      </c>
      <c r="J21" s="36" t="str">
        <f t="shared" ca="1" si="1"/>
        <v>🔴 Atrasado</v>
      </c>
    </row>
    <row r="22" spans="1:10">
      <c r="A22" s="36" t="s">
        <v>147</v>
      </c>
      <c r="B22" s="36" t="s">
        <v>146</v>
      </c>
      <c r="C22" s="37">
        <v>46113</v>
      </c>
      <c r="D22" s="38">
        <v>129.9</v>
      </c>
      <c r="E22" s="37">
        <v>46122</v>
      </c>
      <c r="F22" s="37">
        <v>46120</v>
      </c>
      <c r="G22" s="36" t="s">
        <v>186</v>
      </c>
      <c r="H22" s="36" t="s">
        <v>79</v>
      </c>
      <c r="I22" s="36">
        <f t="shared" ca="1" si="0"/>
        <v>0</v>
      </c>
      <c r="J22" s="36" t="str">
        <f t="shared" si="1"/>
        <v>🟢 Pago</v>
      </c>
    </row>
    <row r="23" spans="1:10">
      <c r="A23" s="36" t="s">
        <v>147</v>
      </c>
      <c r="B23" s="36" t="s">
        <v>146</v>
      </c>
      <c r="C23" s="37">
        <v>46143</v>
      </c>
      <c r="D23" s="38">
        <v>129.9</v>
      </c>
      <c r="E23" s="37">
        <v>46152</v>
      </c>
      <c r="F23" s="37">
        <v>46150</v>
      </c>
      <c r="G23" s="36" t="s">
        <v>186</v>
      </c>
      <c r="H23" s="36" t="s">
        <v>79</v>
      </c>
      <c r="I23" s="36">
        <f t="shared" ca="1" si="0"/>
        <v>0</v>
      </c>
      <c r="J23" s="36" t="str">
        <f t="shared" si="1"/>
        <v>🟢 Pago</v>
      </c>
    </row>
    <row r="24" spans="1:10">
      <c r="A24" s="36" t="s">
        <v>147</v>
      </c>
      <c r="B24" s="36" t="s">
        <v>146</v>
      </c>
      <c r="C24" s="37">
        <v>46174</v>
      </c>
      <c r="D24" s="38">
        <v>129.9</v>
      </c>
      <c r="E24" s="37">
        <v>46183</v>
      </c>
      <c r="F24" s="37">
        <v>46183</v>
      </c>
      <c r="G24" s="36" t="s">
        <v>186</v>
      </c>
      <c r="H24" s="36" t="s">
        <v>79</v>
      </c>
      <c r="I24" s="36">
        <f t="shared" ca="1" si="0"/>
        <v>0</v>
      </c>
      <c r="J24" s="36" t="str">
        <f t="shared" si="1"/>
        <v>🟢 Pago</v>
      </c>
    </row>
    <row r="25" spans="1:10">
      <c r="A25" s="36" t="s">
        <v>147</v>
      </c>
      <c r="B25" s="36" t="s">
        <v>146</v>
      </c>
      <c r="C25" s="37">
        <v>46204</v>
      </c>
      <c r="D25" s="38">
        <v>129.9</v>
      </c>
      <c r="E25" s="37">
        <v>46213</v>
      </c>
      <c r="F25" s="36"/>
      <c r="G25" s="36" t="s">
        <v>187</v>
      </c>
      <c r="H25" s="36"/>
      <c r="I25" s="36">
        <f t="shared" ca="1" si="0"/>
        <v>12</v>
      </c>
      <c r="J25" s="36" t="str">
        <f t="shared" ca="1" si="1"/>
        <v>🔴 Atrasado</v>
      </c>
    </row>
    <row r="26" spans="1:10">
      <c r="A26" s="36" t="s">
        <v>154</v>
      </c>
      <c r="B26" s="36" t="s">
        <v>153</v>
      </c>
      <c r="C26" s="37">
        <v>46113</v>
      </c>
      <c r="D26" s="38">
        <v>350</v>
      </c>
      <c r="E26" s="37">
        <v>46122</v>
      </c>
      <c r="F26" s="37">
        <v>46120</v>
      </c>
      <c r="G26" s="36" t="s">
        <v>186</v>
      </c>
      <c r="H26" s="36" t="s">
        <v>79</v>
      </c>
      <c r="I26" s="36">
        <f t="shared" ca="1" si="0"/>
        <v>0</v>
      </c>
      <c r="J26" s="36" t="str">
        <f t="shared" si="1"/>
        <v>🟢 Pago</v>
      </c>
    </row>
    <row r="27" spans="1:10">
      <c r="A27" s="36" t="s">
        <v>154</v>
      </c>
      <c r="B27" s="36" t="s">
        <v>153</v>
      </c>
      <c r="C27" s="37">
        <v>46143</v>
      </c>
      <c r="D27" s="38">
        <v>350</v>
      </c>
      <c r="E27" s="37">
        <v>46152</v>
      </c>
      <c r="F27" s="37">
        <v>46150</v>
      </c>
      <c r="G27" s="36" t="s">
        <v>186</v>
      </c>
      <c r="H27" s="36" t="s">
        <v>79</v>
      </c>
      <c r="I27" s="36">
        <f t="shared" ca="1" si="0"/>
        <v>0</v>
      </c>
      <c r="J27" s="36" t="str">
        <f t="shared" si="1"/>
        <v>🟢 Pago</v>
      </c>
    </row>
    <row r="28" spans="1:10">
      <c r="A28" s="36" t="s">
        <v>154</v>
      </c>
      <c r="B28" s="36" t="s">
        <v>153</v>
      </c>
      <c r="C28" s="37">
        <v>46174</v>
      </c>
      <c r="D28" s="38">
        <v>350</v>
      </c>
      <c r="E28" s="37">
        <v>46183</v>
      </c>
      <c r="F28" s="37">
        <v>46183</v>
      </c>
      <c r="G28" s="36" t="s">
        <v>186</v>
      </c>
      <c r="H28" s="36" t="s">
        <v>79</v>
      </c>
      <c r="I28" s="36">
        <f t="shared" ca="1" si="0"/>
        <v>0</v>
      </c>
      <c r="J28" s="36" t="str">
        <f t="shared" si="1"/>
        <v>🟢 Pago</v>
      </c>
    </row>
    <row r="29" spans="1:10">
      <c r="A29" s="36" t="s">
        <v>154</v>
      </c>
      <c r="B29" s="36" t="s">
        <v>153</v>
      </c>
      <c r="C29" s="37">
        <v>46204</v>
      </c>
      <c r="D29" s="38">
        <v>350</v>
      </c>
      <c r="E29" s="37">
        <v>46213</v>
      </c>
      <c r="F29" s="36"/>
      <c r="G29" s="36" t="s">
        <v>187</v>
      </c>
      <c r="H29" s="36"/>
      <c r="I29" s="36">
        <f t="shared" ca="1" si="0"/>
        <v>12</v>
      </c>
      <c r="J29" s="36" t="str">
        <f t="shared" ca="1" si="1"/>
        <v>🔴 Atrasado</v>
      </c>
    </row>
    <row r="30" spans="1:10">
      <c r="A30" s="36" t="s">
        <v>161</v>
      </c>
      <c r="B30" s="36" t="s">
        <v>160</v>
      </c>
      <c r="C30" s="37">
        <v>46113</v>
      </c>
      <c r="D30" s="38">
        <v>129.9</v>
      </c>
      <c r="E30" s="37">
        <v>46122</v>
      </c>
      <c r="F30" s="37">
        <v>46120</v>
      </c>
      <c r="G30" s="36" t="s">
        <v>186</v>
      </c>
      <c r="H30" s="36" t="s">
        <v>79</v>
      </c>
      <c r="I30" s="36">
        <f t="shared" ca="1" si="0"/>
        <v>0</v>
      </c>
      <c r="J30" s="36" t="str">
        <f t="shared" si="1"/>
        <v>🟢 Pago</v>
      </c>
    </row>
    <row r="31" spans="1:10">
      <c r="A31" s="36" t="s">
        <v>161</v>
      </c>
      <c r="B31" s="36" t="s">
        <v>160</v>
      </c>
      <c r="C31" s="37">
        <v>46143</v>
      </c>
      <c r="D31" s="38">
        <v>129.9</v>
      </c>
      <c r="E31" s="37">
        <v>46152</v>
      </c>
      <c r="F31" s="37">
        <v>46150</v>
      </c>
      <c r="G31" s="36" t="s">
        <v>186</v>
      </c>
      <c r="H31" s="36" t="s">
        <v>79</v>
      </c>
      <c r="I31" s="36">
        <f t="shared" ca="1" si="0"/>
        <v>0</v>
      </c>
      <c r="J31" s="36" t="str">
        <f t="shared" si="1"/>
        <v>🟢 Pago</v>
      </c>
    </row>
    <row r="32" spans="1:10">
      <c r="A32" s="36" t="s">
        <v>161</v>
      </c>
      <c r="B32" s="36" t="s">
        <v>160</v>
      </c>
      <c r="C32" s="37">
        <v>46174</v>
      </c>
      <c r="D32" s="38">
        <v>129.9</v>
      </c>
      <c r="E32" s="37">
        <v>46183</v>
      </c>
      <c r="F32" s="36"/>
      <c r="G32" s="36" t="s">
        <v>187</v>
      </c>
      <c r="H32" s="36"/>
      <c r="I32" s="36">
        <f t="shared" ca="1" si="0"/>
        <v>42</v>
      </c>
      <c r="J32" s="36" t="str">
        <f t="shared" ca="1" si="1"/>
        <v>🔴 Atrasado</v>
      </c>
    </row>
    <row r="33" spans="1:10">
      <c r="A33" s="36" t="s">
        <v>161</v>
      </c>
      <c r="B33" s="36" t="s">
        <v>160</v>
      </c>
      <c r="C33" s="37">
        <v>46204</v>
      </c>
      <c r="D33" s="38">
        <v>129.9</v>
      </c>
      <c r="E33" s="37">
        <v>46213</v>
      </c>
      <c r="F33" s="36"/>
      <c r="G33" s="36" t="s">
        <v>187</v>
      </c>
      <c r="H33" s="36"/>
      <c r="I33" s="36">
        <f t="shared" ca="1" si="0"/>
        <v>12</v>
      </c>
      <c r="J33" s="36" t="str">
        <f t="shared" ca="1" si="1"/>
        <v>🔴 Atrasado</v>
      </c>
    </row>
    <row r="34" spans="1:10">
      <c r="A34" s="36" t="s">
        <v>168</v>
      </c>
      <c r="B34" s="36" t="s">
        <v>167</v>
      </c>
      <c r="C34" s="37">
        <v>46113</v>
      </c>
      <c r="D34" s="38">
        <v>109.9</v>
      </c>
      <c r="E34" s="37">
        <v>46122</v>
      </c>
      <c r="F34" s="37">
        <v>46120</v>
      </c>
      <c r="G34" s="36" t="s">
        <v>186</v>
      </c>
      <c r="H34" s="36" t="s">
        <v>79</v>
      </c>
      <c r="I34" s="36">
        <f t="shared" ca="1" si="0"/>
        <v>0</v>
      </c>
      <c r="J34" s="36" t="str">
        <f t="shared" si="1"/>
        <v>🟢 Pago</v>
      </c>
    </row>
    <row r="35" spans="1:10">
      <c r="A35" s="36" t="s">
        <v>168</v>
      </c>
      <c r="B35" s="36" t="s">
        <v>167</v>
      </c>
      <c r="C35" s="37">
        <v>46143</v>
      </c>
      <c r="D35" s="38">
        <v>109.9</v>
      </c>
      <c r="E35" s="37">
        <v>46152</v>
      </c>
      <c r="F35" s="37">
        <v>46150</v>
      </c>
      <c r="G35" s="36" t="s">
        <v>186</v>
      </c>
      <c r="H35" s="36" t="s">
        <v>79</v>
      </c>
      <c r="I35" s="36">
        <f t="shared" ca="1" si="0"/>
        <v>0</v>
      </c>
      <c r="J35" s="36" t="str">
        <f t="shared" si="1"/>
        <v>🟢 Pago</v>
      </c>
    </row>
    <row r="36" spans="1:10">
      <c r="A36" s="36" t="s">
        <v>168</v>
      </c>
      <c r="B36" s="36" t="s">
        <v>167</v>
      </c>
      <c r="C36" s="37">
        <v>46174</v>
      </c>
      <c r="D36" s="38">
        <v>109.9</v>
      </c>
      <c r="E36" s="37">
        <v>46183</v>
      </c>
      <c r="F36" s="37">
        <v>46183</v>
      </c>
      <c r="G36" s="36" t="s">
        <v>186</v>
      </c>
      <c r="H36" s="36" t="s">
        <v>79</v>
      </c>
      <c r="I36" s="36">
        <f t="shared" ca="1" si="0"/>
        <v>0</v>
      </c>
      <c r="J36" s="36" t="str">
        <f t="shared" si="1"/>
        <v>🟢 Pago</v>
      </c>
    </row>
    <row r="37" spans="1:10">
      <c r="A37" s="36" t="s">
        <v>168</v>
      </c>
      <c r="B37" s="36" t="s">
        <v>167</v>
      </c>
      <c r="C37" s="37">
        <v>46204</v>
      </c>
      <c r="D37" s="38">
        <v>109.9</v>
      </c>
      <c r="E37" s="37">
        <v>46213</v>
      </c>
      <c r="F37" s="36"/>
      <c r="G37" s="36" t="s">
        <v>187</v>
      </c>
      <c r="H37" s="36"/>
      <c r="I37" s="36">
        <f t="shared" ca="1" si="0"/>
        <v>12</v>
      </c>
      <c r="J37" s="36" t="str">
        <f t="shared" ca="1" si="1"/>
        <v>🔴 Atrasado</v>
      </c>
    </row>
    <row r="38" spans="1:10">
      <c r="A38" s="39"/>
      <c r="B38" s="39"/>
      <c r="C38" s="39"/>
      <c r="D38" s="39"/>
      <c r="E38" s="39"/>
      <c r="F38" s="39"/>
      <c r="G38" s="39"/>
      <c r="H38" s="39"/>
      <c r="I38" s="39">
        <f t="shared" ref="I38:I69" ca="1" si="2">IF(OR(G38="Pago",E38=""),0,MAX(0,TODAY()-E38))</f>
        <v>0</v>
      </c>
      <c r="J38" s="39" t="str">
        <f t="shared" ref="J38:J76" si="3">IF(A38="","",IF(G38="Pago","🟢 Pago",IF(G38="Vence hoje","🟡 Vence hoje",IF(OR(G38="Atrasado",I38&gt;0),"🔴 Atrasado","⚪ Pendente"))))</f>
        <v/>
      </c>
    </row>
    <row r="39" spans="1:10">
      <c r="A39" s="39"/>
      <c r="B39" s="39"/>
      <c r="C39" s="39"/>
      <c r="D39" s="39"/>
      <c r="E39" s="39"/>
      <c r="F39" s="39"/>
      <c r="G39" s="39"/>
      <c r="H39" s="39"/>
      <c r="I39" s="39">
        <f t="shared" ca="1" si="2"/>
        <v>0</v>
      </c>
      <c r="J39" s="39" t="str">
        <f t="shared" si="3"/>
        <v/>
      </c>
    </row>
    <row r="40" spans="1:10">
      <c r="A40" s="39"/>
      <c r="B40" s="39"/>
      <c r="C40" s="39"/>
      <c r="D40" s="39"/>
      <c r="E40" s="39"/>
      <c r="F40" s="39"/>
      <c r="G40" s="39"/>
      <c r="H40" s="39"/>
      <c r="I40" s="39">
        <f t="shared" ca="1" si="2"/>
        <v>0</v>
      </c>
      <c r="J40" s="39" t="str">
        <f t="shared" si="3"/>
        <v/>
      </c>
    </row>
    <row r="41" spans="1:10">
      <c r="A41" s="39"/>
      <c r="B41" s="39"/>
      <c r="C41" s="39"/>
      <c r="D41" s="39"/>
      <c r="E41" s="39"/>
      <c r="F41" s="39"/>
      <c r="G41" s="39"/>
      <c r="H41" s="39"/>
      <c r="I41" s="39">
        <f t="shared" ca="1" si="2"/>
        <v>0</v>
      </c>
      <c r="J41" s="39" t="str">
        <f t="shared" si="3"/>
        <v/>
      </c>
    </row>
    <row r="42" spans="1:10">
      <c r="A42" s="39"/>
      <c r="B42" s="39"/>
      <c r="C42" s="39"/>
      <c r="D42" s="39"/>
      <c r="E42" s="39"/>
      <c r="F42" s="39"/>
      <c r="G42" s="39"/>
      <c r="H42" s="39"/>
      <c r="I42" s="39">
        <f t="shared" ca="1" si="2"/>
        <v>0</v>
      </c>
      <c r="J42" s="39" t="str">
        <f t="shared" si="3"/>
        <v/>
      </c>
    </row>
    <row r="43" spans="1:10">
      <c r="A43" s="39"/>
      <c r="B43" s="39"/>
      <c r="C43" s="39"/>
      <c r="D43" s="39"/>
      <c r="E43" s="39"/>
      <c r="F43" s="39"/>
      <c r="G43" s="39"/>
      <c r="H43" s="39"/>
      <c r="I43" s="39">
        <f t="shared" ca="1" si="2"/>
        <v>0</v>
      </c>
      <c r="J43" s="39" t="str">
        <f t="shared" si="3"/>
        <v/>
      </c>
    </row>
    <row r="44" spans="1:10">
      <c r="A44" s="39"/>
      <c r="B44" s="39"/>
      <c r="C44" s="39"/>
      <c r="D44" s="39"/>
      <c r="E44" s="39"/>
      <c r="F44" s="39"/>
      <c r="G44" s="39"/>
      <c r="H44" s="39"/>
      <c r="I44" s="39">
        <f t="shared" ca="1" si="2"/>
        <v>0</v>
      </c>
      <c r="J44" s="39" t="str">
        <f t="shared" si="3"/>
        <v/>
      </c>
    </row>
    <row r="45" spans="1:10">
      <c r="A45" s="39"/>
      <c r="B45" s="39"/>
      <c r="C45" s="39"/>
      <c r="D45" s="39"/>
      <c r="E45" s="39"/>
      <c r="F45" s="39"/>
      <c r="G45" s="39"/>
      <c r="H45" s="39"/>
      <c r="I45" s="39">
        <f t="shared" ca="1" si="2"/>
        <v>0</v>
      </c>
      <c r="J45" s="39" t="str">
        <f t="shared" si="3"/>
        <v/>
      </c>
    </row>
    <row r="46" spans="1:10">
      <c r="A46" s="39"/>
      <c r="B46" s="39"/>
      <c r="C46" s="39"/>
      <c r="D46" s="39"/>
      <c r="E46" s="39"/>
      <c r="F46" s="39"/>
      <c r="G46" s="39"/>
      <c r="H46" s="39"/>
      <c r="I46" s="39">
        <f t="shared" ca="1" si="2"/>
        <v>0</v>
      </c>
      <c r="J46" s="39" t="str">
        <f t="shared" si="3"/>
        <v/>
      </c>
    </row>
    <row r="47" spans="1:10">
      <c r="A47" s="39"/>
      <c r="B47" s="39"/>
      <c r="C47" s="39"/>
      <c r="D47" s="39"/>
      <c r="E47" s="39"/>
      <c r="F47" s="39"/>
      <c r="G47" s="39"/>
      <c r="H47" s="39"/>
      <c r="I47" s="39">
        <f t="shared" ca="1" si="2"/>
        <v>0</v>
      </c>
      <c r="J47" s="39" t="str">
        <f t="shared" si="3"/>
        <v/>
      </c>
    </row>
    <row r="48" spans="1:10">
      <c r="A48" s="39"/>
      <c r="B48" s="39"/>
      <c r="C48" s="39"/>
      <c r="D48" s="39"/>
      <c r="E48" s="39"/>
      <c r="F48" s="39"/>
      <c r="G48" s="39"/>
      <c r="H48" s="39"/>
      <c r="I48" s="39">
        <f t="shared" ca="1" si="2"/>
        <v>0</v>
      </c>
      <c r="J48" s="39" t="str">
        <f t="shared" si="3"/>
        <v/>
      </c>
    </row>
    <row r="49" spans="1:10">
      <c r="A49" s="39"/>
      <c r="B49" s="39"/>
      <c r="C49" s="39"/>
      <c r="D49" s="39"/>
      <c r="E49" s="39"/>
      <c r="F49" s="39"/>
      <c r="G49" s="39"/>
      <c r="H49" s="39"/>
      <c r="I49" s="39">
        <f t="shared" ca="1" si="2"/>
        <v>0</v>
      </c>
      <c r="J49" s="39" t="str">
        <f t="shared" si="3"/>
        <v/>
      </c>
    </row>
    <row r="50" spans="1:10">
      <c r="A50" s="39"/>
      <c r="B50" s="39"/>
      <c r="C50" s="39"/>
      <c r="D50" s="39"/>
      <c r="E50" s="39"/>
      <c r="F50" s="39"/>
      <c r="G50" s="39"/>
      <c r="H50" s="39"/>
      <c r="I50" s="39">
        <f t="shared" ca="1" si="2"/>
        <v>0</v>
      </c>
      <c r="J50" s="39" t="str">
        <f t="shared" si="3"/>
        <v/>
      </c>
    </row>
    <row r="51" spans="1:10">
      <c r="A51" s="39"/>
      <c r="B51" s="39"/>
      <c r="C51" s="39"/>
      <c r="D51" s="39"/>
      <c r="E51" s="39"/>
      <c r="F51" s="39"/>
      <c r="G51" s="39"/>
      <c r="H51" s="39"/>
      <c r="I51" s="39">
        <f t="shared" ca="1" si="2"/>
        <v>0</v>
      </c>
      <c r="J51" s="39" t="str">
        <f t="shared" si="3"/>
        <v/>
      </c>
    </row>
    <row r="52" spans="1:10">
      <c r="A52" s="39"/>
      <c r="B52" s="39"/>
      <c r="C52" s="39"/>
      <c r="D52" s="39"/>
      <c r="E52" s="39"/>
      <c r="F52" s="39"/>
      <c r="G52" s="39"/>
      <c r="H52" s="39"/>
      <c r="I52" s="39">
        <f t="shared" ca="1" si="2"/>
        <v>0</v>
      </c>
      <c r="J52" s="39" t="str">
        <f t="shared" si="3"/>
        <v/>
      </c>
    </row>
    <row r="53" spans="1:10">
      <c r="A53" s="39"/>
      <c r="B53" s="39"/>
      <c r="C53" s="39"/>
      <c r="D53" s="39"/>
      <c r="E53" s="39"/>
      <c r="F53" s="39"/>
      <c r="G53" s="39"/>
      <c r="H53" s="39"/>
      <c r="I53" s="39">
        <f t="shared" ca="1" si="2"/>
        <v>0</v>
      </c>
      <c r="J53" s="39" t="str">
        <f t="shared" si="3"/>
        <v/>
      </c>
    </row>
    <row r="54" spans="1:10">
      <c r="A54" s="39"/>
      <c r="B54" s="39"/>
      <c r="C54" s="39"/>
      <c r="D54" s="39"/>
      <c r="E54" s="39"/>
      <c r="F54" s="39"/>
      <c r="G54" s="39"/>
      <c r="H54" s="39"/>
      <c r="I54" s="39">
        <f t="shared" ca="1" si="2"/>
        <v>0</v>
      </c>
      <c r="J54" s="39" t="str">
        <f t="shared" si="3"/>
        <v/>
      </c>
    </row>
    <row r="55" spans="1:10">
      <c r="A55" s="39"/>
      <c r="B55" s="39"/>
      <c r="C55" s="39"/>
      <c r="D55" s="39"/>
      <c r="E55" s="39"/>
      <c r="F55" s="39"/>
      <c r="G55" s="39"/>
      <c r="H55" s="39"/>
      <c r="I55" s="39">
        <f t="shared" ca="1" si="2"/>
        <v>0</v>
      </c>
      <c r="J55" s="39" t="str">
        <f t="shared" si="3"/>
        <v/>
      </c>
    </row>
    <row r="56" spans="1:10">
      <c r="A56" s="39"/>
      <c r="B56" s="39"/>
      <c r="C56" s="39"/>
      <c r="D56" s="39"/>
      <c r="E56" s="39"/>
      <c r="F56" s="39"/>
      <c r="G56" s="39"/>
      <c r="H56" s="39"/>
      <c r="I56" s="39">
        <f t="shared" ca="1" si="2"/>
        <v>0</v>
      </c>
      <c r="J56" s="39" t="str">
        <f t="shared" si="3"/>
        <v/>
      </c>
    </row>
    <row r="57" spans="1:10">
      <c r="A57" s="39"/>
      <c r="B57" s="39"/>
      <c r="C57" s="39"/>
      <c r="D57" s="39"/>
      <c r="E57" s="39"/>
      <c r="F57" s="39"/>
      <c r="G57" s="39"/>
      <c r="H57" s="39"/>
      <c r="I57" s="39">
        <f t="shared" ca="1" si="2"/>
        <v>0</v>
      </c>
      <c r="J57" s="39" t="str">
        <f t="shared" si="3"/>
        <v/>
      </c>
    </row>
    <row r="58" spans="1:10">
      <c r="A58" s="39"/>
      <c r="B58" s="39"/>
      <c r="C58" s="39"/>
      <c r="D58" s="39"/>
      <c r="E58" s="39"/>
      <c r="F58" s="39"/>
      <c r="G58" s="39"/>
      <c r="H58" s="39"/>
      <c r="I58" s="39">
        <f t="shared" ca="1" si="2"/>
        <v>0</v>
      </c>
      <c r="J58" s="39" t="str">
        <f t="shared" si="3"/>
        <v/>
      </c>
    </row>
    <row r="59" spans="1:10">
      <c r="A59" s="39"/>
      <c r="B59" s="39"/>
      <c r="C59" s="39"/>
      <c r="D59" s="39"/>
      <c r="E59" s="39"/>
      <c r="F59" s="39"/>
      <c r="G59" s="39"/>
      <c r="H59" s="39"/>
      <c r="I59" s="39">
        <f t="shared" ca="1" si="2"/>
        <v>0</v>
      </c>
      <c r="J59" s="39" t="str">
        <f t="shared" si="3"/>
        <v/>
      </c>
    </row>
    <row r="60" spans="1:10">
      <c r="A60" s="39"/>
      <c r="B60" s="39"/>
      <c r="C60" s="39"/>
      <c r="D60" s="39"/>
      <c r="E60" s="39"/>
      <c r="F60" s="39"/>
      <c r="G60" s="39"/>
      <c r="H60" s="39"/>
      <c r="I60" s="39">
        <f t="shared" ca="1" si="2"/>
        <v>0</v>
      </c>
      <c r="J60" s="39" t="str">
        <f t="shared" si="3"/>
        <v/>
      </c>
    </row>
    <row r="61" spans="1:10">
      <c r="A61" s="39"/>
      <c r="B61" s="39"/>
      <c r="C61" s="39"/>
      <c r="D61" s="39"/>
      <c r="E61" s="39"/>
      <c r="F61" s="39"/>
      <c r="G61" s="39"/>
      <c r="H61" s="39"/>
      <c r="I61" s="39">
        <f t="shared" ca="1" si="2"/>
        <v>0</v>
      </c>
      <c r="J61" s="39" t="str">
        <f t="shared" si="3"/>
        <v/>
      </c>
    </row>
    <row r="62" spans="1:10">
      <c r="A62" s="39"/>
      <c r="B62" s="39"/>
      <c r="C62" s="39"/>
      <c r="D62" s="39"/>
      <c r="E62" s="39"/>
      <c r="F62" s="39"/>
      <c r="G62" s="39"/>
      <c r="H62" s="39"/>
      <c r="I62" s="39">
        <f t="shared" ca="1" si="2"/>
        <v>0</v>
      </c>
      <c r="J62" s="39" t="str">
        <f t="shared" si="3"/>
        <v/>
      </c>
    </row>
    <row r="63" spans="1:10">
      <c r="A63" s="39"/>
      <c r="B63" s="39"/>
      <c r="C63" s="39"/>
      <c r="D63" s="39"/>
      <c r="E63" s="39"/>
      <c r="F63" s="39"/>
      <c r="G63" s="39"/>
      <c r="H63" s="39"/>
      <c r="I63" s="39">
        <f t="shared" ca="1" si="2"/>
        <v>0</v>
      </c>
      <c r="J63" s="39" t="str">
        <f t="shared" si="3"/>
        <v/>
      </c>
    </row>
    <row r="64" spans="1:10">
      <c r="A64" s="39"/>
      <c r="B64" s="39"/>
      <c r="C64" s="39"/>
      <c r="D64" s="39"/>
      <c r="E64" s="39"/>
      <c r="F64" s="39"/>
      <c r="G64" s="39"/>
      <c r="H64" s="39"/>
      <c r="I64" s="39">
        <f t="shared" ca="1" si="2"/>
        <v>0</v>
      </c>
      <c r="J64" s="39" t="str">
        <f t="shared" si="3"/>
        <v/>
      </c>
    </row>
    <row r="65" spans="1:10">
      <c r="A65" s="39"/>
      <c r="B65" s="39"/>
      <c r="C65" s="39"/>
      <c r="D65" s="39"/>
      <c r="E65" s="39"/>
      <c r="F65" s="39"/>
      <c r="G65" s="39"/>
      <c r="H65" s="39"/>
      <c r="I65" s="39">
        <f t="shared" ca="1" si="2"/>
        <v>0</v>
      </c>
      <c r="J65" s="39" t="str">
        <f t="shared" si="3"/>
        <v/>
      </c>
    </row>
    <row r="66" spans="1:10">
      <c r="A66" s="39"/>
      <c r="B66" s="39"/>
      <c r="C66" s="39"/>
      <c r="D66" s="39"/>
      <c r="E66" s="39"/>
      <c r="F66" s="39"/>
      <c r="G66" s="39"/>
      <c r="H66" s="39"/>
      <c r="I66" s="39">
        <f t="shared" ca="1" si="2"/>
        <v>0</v>
      </c>
      <c r="J66" s="39" t="str">
        <f t="shared" si="3"/>
        <v/>
      </c>
    </row>
    <row r="67" spans="1:10">
      <c r="A67" s="39"/>
      <c r="B67" s="39"/>
      <c r="C67" s="39"/>
      <c r="D67" s="39"/>
      <c r="E67" s="39"/>
      <c r="F67" s="39"/>
      <c r="G67" s="39"/>
      <c r="H67" s="39"/>
      <c r="I67" s="39">
        <f t="shared" ca="1" si="2"/>
        <v>0</v>
      </c>
      <c r="J67" s="39" t="str">
        <f t="shared" si="3"/>
        <v/>
      </c>
    </row>
    <row r="68" spans="1:10">
      <c r="A68" s="39"/>
      <c r="B68" s="39"/>
      <c r="C68" s="39"/>
      <c r="D68" s="39"/>
      <c r="E68" s="39"/>
      <c r="F68" s="39"/>
      <c r="G68" s="39"/>
      <c r="H68" s="39"/>
      <c r="I68" s="39">
        <f t="shared" ca="1" si="2"/>
        <v>0</v>
      </c>
      <c r="J68" s="39" t="str">
        <f t="shared" si="3"/>
        <v/>
      </c>
    </row>
    <row r="69" spans="1:10">
      <c r="A69" s="39"/>
      <c r="B69" s="39"/>
      <c r="C69" s="39"/>
      <c r="D69" s="39"/>
      <c r="E69" s="39"/>
      <c r="F69" s="39"/>
      <c r="G69" s="39"/>
      <c r="H69" s="39"/>
      <c r="I69" s="39">
        <f t="shared" ca="1" si="2"/>
        <v>0</v>
      </c>
      <c r="J69" s="39" t="str">
        <f t="shared" si="3"/>
        <v/>
      </c>
    </row>
    <row r="70" spans="1:10">
      <c r="A70" s="39"/>
      <c r="B70" s="39"/>
      <c r="C70" s="39"/>
      <c r="D70" s="39"/>
      <c r="E70" s="39"/>
      <c r="F70" s="39"/>
      <c r="G70" s="39"/>
      <c r="H70" s="39"/>
      <c r="I70" s="39">
        <f t="shared" ref="I70:I76" ca="1" si="4">IF(OR(G70="Pago",E70=""),0,MAX(0,TODAY()-E70))</f>
        <v>0</v>
      </c>
      <c r="J70" s="39" t="str">
        <f t="shared" si="3"/>
        <v/>
      </c>
    </row>
    <row r="71" spans="1:10">
      <c r="A71" s="39"/>
      <c r="B71" s="39"/>
      <c r="C71" s="39"/>
      <c r="D71" s="39"/>
      <c r="E71" s="39"/>
      <c r="F71" s="39"/>
      <c r="G71" s="39"/>
      <c r="H71" s="39"/>
      <c r="I71" s="39">
        <f t="shared" ca="1" si="4"/>
        <v>0</v>
      </c>
      <c r="J71" s="39" t="str">
        <f t="shared" si="3"/>
        <v/>
      </c>
    </row>
    <row r="72" spans="1:10">
      <c r="A72" s="39"/>
      <c r="B72" s="39"/>
      <c r="C72" s="39"/>
      <c r="D72" s="39"/>
      <c r="E72" s="39"/>
      <c r="F72" s="39"/>
      <c r="G72" s="39"/>
      <c r="H72" s="39"/>
      <c r="I72" s="39">
        <f t="shared" ca="1" si="4"/>
        <v>0</v>
      </c>
      <c r="J72" s="39" t="str">
        <f t="shared" si="3"/>
        <v/>
      </c>
    </row>
    <row r="73" spans="1:10">
      <c r="A73" s="39"/>
      <c r="B73" s="39"/>
      <c r="C73" s="39"/>
      <c r="D73" s="39"/>
      <c r="E73" s="39"/>
      <c r="F73" s="39"/>
      <c r="G73" s="39"/>
      <c r="H73" s="39"/>
      <c r="I73" s="39">
        <f t="shared" ca="1" si="4"/>
        <v>0</v>
      </c>
      <c r="J73" s="39" t="str">
        <f t="shared" si="3"/>
        <v/>
      </c>
    </row>
    <row r="74" spans="1:10">
      <c r="A74" s="39"/>
      <c r="B74" s="39"/>
      <c r="C74" s="39"/>
      <c r="D74" s="39"/>
      <c r="E74" s="39"/>
      <c r="F74" s="39"/>
      <c r="G74" s="39"/>
      <c r="H74" s="39"/>
      <c r="I74" s="39">
        <f t="shared" ca="1" si="4"/>
        <v>0</v>
      </c>
      <c r="J74" s="39" t="str">
        <f t="shared" si="3"/>
        <v/>
      </c>
    </row>
    <row r="75" spans="1:10">
      <c r="A75" s="39"/>
      <c r="B75" s="39"/>
      <c r="C75" s="39"/>
      <c r="D75" s="39"/>
      <c r="E75" s="39"/>
      <c r="F75" s="39"/>
      <c r="G75" s="39"/>
      <c r="H75" s="39"/>
      <c r="I75" s="39">
        <f t="shared" ca="1" si="4"/>
        <v>0</v>
      </c>
      <c r="J75" s="39" t="str">
        <f t="shared" si="3"/>
        <v/>
      </c>
    </row>
    <row r="76" spans="1:10">
      <c r="A76" s="39"/>
      <c r="B76" s="39"/>
      <c r="C76" s="39"/>
      <c r="D76" s="39"/>
      <c r="E76" s="39"/>
      <c r="F76" s="39"/>
      <c r="G76" s="39"/>
      <c r="H76" s="39"/>
      <c r="I76" s="39">
        <f t="shared" ca="1" si="4"/>
        <v>0</v>
      </c>
      <c r="J76" s="39" t="str">
        <f t="shared" si="3"/>
        <v/>
      </c>
    </row>
  </sheetData>
  <mergeCells count="2">
    <mergeCell ref="A1:J1"/>
    <mergeCell ref="A2:J2"/>
  </mergeCells>
  <conditionalFormatting sqref="G6:G76">
    <cfRule type="expression" dxfId="9" priority="1">
      <formula>G6="Pago"</formula>
    </cfRule>
    <cfRule type="expression" dxfId="8" priority="2">
      <formula>G6="Vence hoje"</formula>
    </cfRule>
    <cfRule type="expression" dxfId="7" priority="3">
      <formula>G6="Atrasado"</formula>
    </cfRule>
  </conditionalFormatting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errorTitle="Valor inválido" error="Selecione um valor da lista." xr:uid="{00000000-0002-0000-0500-000000000000}">
          <x14:formula1>
            <xm:f>BD_ALUNOS!$C$2:$C$200</xm:f>
          </x14:formula1>
          <xm:sqref>A6:A76</xm:sqref>
        </x14:dataValidation>
        <x14:dataValidation type="list" allowBlank="1" showErrorMessage="1" errorTitle="Valor inválido" error="Selecione um valor da lista." xr:uid="{00000000-0002-0000-0500-000001000000}">
          <x14:formula1>
            <xm:f>'15_CONFIG'!$M$8:$M$12</xm:f>
          </x14:formula1>
          <xm:sqref>G6:G76</xm:sqref>
        </x14:dataValidation>
        <x14:dataValidation type="list" allowBlank="1" showErrorMessage="1" errorTitle="Valor inválido" error="Selecione um valor da lista." xr:uid="{00000000-0002-0000-0500-000002000000}">
          <x14:formula1>
            <xm:f>'15_CONFIG'!$C$8:$C$20</xm:f>
          </x14:formula1>
          <xm:sqref>H6:H76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A3001E"/>
  </sheetPr>
  <dimension ref="A1:N76"/>
  <sheetViews>
    <sheetView workbookViewId="0">
      <pane ySplit="7" topLeftCell="A8" activePane="bottomLeft" state="frozen"/>
      <selection pane="bottomLeft"/>
    </sheetView>
  </sheetViews>
  <sheetFormatPr defaultRowHeight="14.4"/>
  <cols>
    <col min="1" max="1" width="6" customWidth="1"/>
    <col min="2" max="2" width="22" customWidth="1"/>
    <col min="3" max="3" width="14" customWidth="1"/>
    <col min="4" max="7" width="12" customWidth="1"/>
    <col min="8" max="8" width="14" customWidth="1"/>
    <col min="9" max="9" width="10" customWidth="1"/>
    <col min="10" max="10" width="12" customWidth="1"/>
    <col min="13" max="13" width="14" customWidth="1"/>
    <col min="14" max="14" width="12" customWidth="1"/>
  </cols>
  <sheetData>
    <row r="1" spans="1:14" ht="36" customHeight="1">
      <c r="A1" s="122" t="s">
        <v>188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</row>
    <row r="2" spans="1:14" ht="18" customHeight="1">
      <c r="A2" s="124" t="s">
        <v>189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M2" s="43" t="s">
        <v>190</v>
      </c>
    </row>
    <row r="3" spans="1:14">
      <c r="A3" s="44" t="s">
        <v>191</v>
      </c>
      <c r="C3" s="44" t="s">
        <v>192</v>
      </c>
      <c r="E3" s="44" t="s">
        <v>193</v>
      </c>
      <c r="G3" s="44" t="s">
        <v>60</v>
      </c>
      <c r="I3" s="44" t="s">
        <v>194</v>
      </c>
      <c r="K3" s="44" t="s">
        <v>195</v>
      </c>
      <c r="M3" t="s">
        <v>191</v>
      </c>
      <c r="N3" s="45">
        <v>0</v>
      </c>
    </row>
    <row r="4" spans="1:14">
      <c r="A4" s="46">
        <f>N3</f>
        <v>0</v>
      </c>
      <c r="C4" s="46">
        <f>N6</f>
        <v>0</v>
      </c>
      <c r="E4" s="46">
        <f>N7</f>
        <v>0</v>
      </c>
      <c r="G4" s="46">
        <f>N8</f>
        <v>0</v>
      </c>
      <c r="I4" s="46">
        <f>N9</f>
        <v>25000</v>
      </c>
      <c r="K4" s="47">
        <f>N10</f>
        <v>0</v>
      </c>
      <c r="M4" t="s">
        <v>196</v>
      </c>
      <c r="N4" s="45">
        <v>0</v>
      </c>
    </row>
    <row r="5" spans="1:14">
      <c r="A5" t="s">
        <v>197</v>
      </c>
      <c r="B5" s="19"/>
      <c r="M5" t="s">
        <v>196</v>
      </c>
      <c r="N5" s="45">
        <v>0</v>
      </c>
    </row>
    <row r="6" spans="1:14">
      <c r="M6" t="s">
        <v>192</v>
      </c>
      <c r="N6" s="45">
        <v>0</v>
      </c>
    </row>
    <row r="7" spans="1:14" ht="28.8">
      <c r="A7" s="35" t="s">
        <v>70</v>
      </c>
      <c r="B7" s="35" t="s">
        <v>177</v>
      </c>
      <c r="C7" s="35" t="s">
        <v>179</v>
      </c>
      <c r="D7" s="35" t="s">
        <v>198</v>
      </c>
      <c r="E7" s="35" t="s">
        <v>199</v>
      </c>
      <c r="F7" s="35" t="s">
        <v>181</v>
      </c>
      <c r="G7" s="35" t="s">
        <v>182</v>
      </c>
      <c r="H7" s="35" t="s">
        <v>73</v>
      </c>
      <c r="I7" s="35" t="s">
        <v>200</v>
      </c>
      <c r="J7" s="35" t="s">
        <v>201</v>
      </c>
      <c r="M7" t="s">
        <v>202</v>
      </c>
      <c r="N7" s="45">
        <v>0</v>
      </c>
    </row>
    <row r="8" spans="1:14">
      <c r="A8" s="39">
        <v>4</v>
      </c>
      <c r="B8" s="39" t="s">
        <v>108</v>
      </c>
      <c r="C8" s="39" t="s">
        <v>203</v>
      </c>
      <c r="D8" s="48">
        <v>133.02000000000001</v>
      </c>
      <c r="E8" s="39" t="s">
        <v>187</v>
      </c>
      <c r="F8" s="49">
        <v>46213</v>
      </c>
      <c r="G8" s="39"/>
      <c r="H8" s="39" t="s">
        <v>107</v>
      </c>
      <c r="I8" s="39"/>
      <c r="J8" s="48">
        <v>129.9</v>
      </c>
      <c r="M8" t="s">
        <v>60</v>
      </c>
      <c r="N8" s="45">
        <v>0</v>
      </c>
    </row>
    <row r="9" spans="1:14">
      <c r="A9" s="39">
        <v>8</v>
      </c>
      <c r="B9" s="39" t="s">
        <v>122</v>
      </c>
      <c r="C9" s="39" t="s">
        <v>203</v>
      </c>
      <c r="D9" s="48">
        <v>112.54</v>
      </c>
      <c r="E9" s="39" t="s">
        <v>187</v>
      </c>
      <c r="F9" s="49">
        <v>46213</v>
      </c>
      <c r="G9" s="39"/>
      <c r="H9" s="39" t="s">
        <v>121</v>
      </c>
      <c r="I9" s="39"/>
      <c r="J9" s="48">
        <v>109.9</v>
      </c>
      <c r="M9" t="s">
        <v>194</v>
      </c>
      <c r="N9" s="45">
        <v>25000</v>
      </c>
    </row>
    <row r="10" spans="1:14">
      <c r="A10" s="39">
        <v>12</v>
      </c>
      <c r="B10" s="39" t="s">
        <v>131</v>
      </c>
      <c r="C10" s="39" t="s">
        <v>203</v>
      </c>
      <c r="D10" s="48">
        <v>102.3</v>
      </c>
      <c r="E10" s="39" t="s">
        <v>187</v>
      </c>
      <c r="F10" s="49">
        <v>46213</v>
      </c>
      <c r="G10" s="39"/>
      <c r="H10" s="39" t="s">
        <v>130</v>
      </c>
      <c r="I10" s="39"/>
      <c r="J10" s="48">
        <v>99.9</v>
      </c>
      <c r="M10" t="s">
        <v>204</v>
      </c>
      <c r="N10" s="50">
        <v>0</v>
      </c>
    </row>
    <row r="11" spans="1:14">
      <c r="A11" s="39">
        <v>16</v>
      </c>
      <c r="B11" s="39" t="s">
        <v>139</v>
      </c>
      <c r="C11" s="39" t="s">
        <v>203</v>
      </c>
      <c r="D11" s="48">
        <v>92.06</v>
      </c>
      <c r="E11" s="39" t="s">
        <v>187</v>
      </c>
      <c r="F11" s="49">
        <v>46213</v>
      </c>
      <c r="G11" s="39"/>
      <c r="H11" s="39" t="s">
        <v>138</v>
      </c>
      <c r="I11" s="39"/>
      <c r="J11" s="48">
        <v>89.9</v>
      </c>
      <c r="M11" t="s">
        <v>205</v>
      </c>
      <c r="N11" s="45">
        <v>0</v>
      </c>
    </row>
    <row r="12" spans="1:14">
      <c r="A12" s="39">
        <v>20</v>
      </c>
      <c r="B12" s="39" t="s">
        <v>147</v>
      </c>
      <c r="C12" s="39" t="s">
        <v>203</v>
      </c>
      <c r="D12" s="48">
        <v>133.02000000000001</v>
      </c>
      <c r="E12" s="39" t="s">
        <v>187</v>
      </c>
      <c r="F12" s="49">
        <v>46213</v>
      </c>
      <c r="G12" s="39"/>
      <c r="H12" s="39" t="s">
        <v>146</v>
      </c>
      <c r="I12" s="39"/>
      <c r="J12" s="48">
        <v>129.9</v>
      </c>
      <c r="M12" t="s">
        <v>206</v>
      </c>
      <c r="N12" s="45">
        <v>0</v>
      </c>
    </row>
    <row r="13" spans="1:14">
      <c r="A13" s="39">
        <v>24</v>
      </c>
      <c r="B13" s="39" t="s">
        <v>154</v>
      </c>
      <c r="C13" s="39" t="s">
        <v>203</v>
      </c>
      <c r="D13" s="48">
        <v>358.4</v>
      </c>
      <c r="E13" s="39" t="s">
        <v>187</v>
      </c>
      <c r="F13" s="49">
        <v>46213</v>
      </c>
      <c r="G13" s="39"/>
      <c r="H13" s="39" t="s">
        <v>153</v>
      </c>
      <c r="I13" s="39"/>
      <c r="J13" s="48">
        <v>350</v>
      </c>
      <c r="M13" t="s">
        <v>207</v>
      </c>
      <c r="N13" s="45">
        <v>0</v>
      </c>
    </row>
    <row r="14" spans="1:14">
      <c r="A14" s="39">
        <v>27</v>
      </c>
      <c r="B14" s="39" t="s">
        <v>161</v>
      </c>
      <c r="C14" s="39" t="s">
        <v>208</v>
      </c>
      <c r="D14" s="48">
        <v>134.32</v>
      </c>
      <c r="E14" s="39" t="s">
        <v>187</v>
      </c>
      <c r="F14" s="49">
        <v>46183</v>
      </c>
      <c r="G14" s="39"/>
      <c r="H14" s="39" t="s">
        <v>160</v>
      </c>
      <c r="I14" s="39"/>
      <c r="J14" s="48">
        <v>129.9</v>
      </c>
      <c r="M14" t="s">
        <v>209</v>
      </c>
      <c r="N14" s="45">
        <v>0</v>
      </c>
    </row>
    <row r="15" spans="1:14">
      <c r="A15" s="39">
        <v>28</v>
      </c>
      <c r="B15" s="39" t="s">
        <v>161</v>
      </c>
      <c r="C15" s="39" t="s">
        <v>203</v>
      </c>
      <c r="D15" s="48">
        <v>133.02000000000001</v>
      </c>
      <c r="E15" s="39" t="s">
        <v>187</v>
      </c>
      <c r="F15" s="49">
        <v>46213</v>
      </c>
      <c r="G15" s="39"/>
      <c r="H15" s="39" t="s">
        <v>160</v>
      </c>
      <c r="I15" s="39"/>
      <c r="J15" s="48">
        <v>129.9</v>
      </c>
      <c r="M15" t="s">
        <v>210</v>
      </c>
      <c r="N15" s="50">
        <v>0</v>
      </c>
    </row>
    <row r="16" spans="1:14">
      <c r="A16" s="39">
        <v>32</v>
      </c>
      <c r="B16" s="39" t="s">
        <v>168</v>
      </c>
      <c r="C16" s="39" t="s">
        <v>203</v>
      </c>
      <c r="D16" s="48">
        <v>112.54</v>
      </c>
      <c r="E16" s="39" t="s">
        <v>187</v>
      </c>
      <c r="F16" s="49">
        <v>46213</v>
      </c>
      <c r="G16" s="39"/>
      <c r="H16" s="39" t="s">
        <v>167</v>
      </c>
      <c r="I16" s="39"/>
      <c r="J16" s="48">
        <v>109.9</v>
      </c>
      <c r="M16" t="s">
        <v>211</v>
      </c>
      <c r="N16" s="45">
        <v>0</v>
      </c>
    </row>
    <row r="17" spans="1:14">
      <c r="A17" s="39"/>
      <c r="B17" s="39"/>
      <c r="C17" s="39"/>
      <c r="D17" s="39"/>
      <c r="E17" s="39"/>
      <c r="F17" s="39"/>
      <c r="G17" s="39"/>
      <c r="H17" s="39"/>
      <c r="I17" s="39"/>
      <c r="J17" s="39"/>
      <c r="M17" t="s">
        <v>212</v>
      </c>
      <c r="N17" s="45">
        <v>0</v>
      </c>
    </row>
    <row r="18" spans="1:14">
      <c r="A18" s="39"/>
      <c r="B18" s="39"/>
      <c r="C18" s="39"/>
      <c r="D18" s="39"/>
      <c r="E18" s="39"/>
      <c r="F18" s="39"/>
      <c r="G18" s="39"/>
      <c r="H18" s="39"/>
      <c r="I18" s="39"/>
      <c r="J18" s="39"/>
      <c r="M18" t="s">
        <v>213</v>
      </c>
      <c r="N18" s="45">
        <v>0</v>
      </c>
    </row>
    <row r="19" spans="1:14">
      <c r="A19" s="39"/>
      <c r="B19" s="39"/>
      <c r="C19" s="39"/>
      <c r="D19" s="39"/>
      <c r="E19" s="39"/>
      <c r="F19" s="39"/>
      <c r="G19" s="39"/>
      <c r="H19" s="39"/>
      <c r="I19" s="39"/>
      <c r="J19" s="39"/>
    </row>
    <row r="20" spans="1:14">
      <c r="A20" s="39"/>
      <c r="B20" s="39"/>
      <c r="C20" s="39"/>
      <c r="D20" s="39"/>
      <c r="E20" s="39"/>
      <c r="F20" s="39"/>
      <c r="G20" s="39"/>
      <c r="H20" s="39"/>
      <c r="I20" s="39"/>
      <c r="J20" s="39"/>
    </row>
    <row r="21" spans="1:14">
      <c r="A21" s="39"/>
      <c r="B21" s="39"/>
      <c r="C21" s="39"/>
      <c r="D21" s="39"/>
      <c r="E21" s="39"/>
      <c r="F21" s="39"/>
      <c r="G21" s="39"/>
      <c r="H21" s="39"/>
      <c r="I21" s="39"/>
      <c r="J21" s="39"/>
    </row>
    <row r="22" spans="1:14">
      <c r="A22" s="39"/>
      <c r="B22" s="39"/>
      <c r="C22" s="39"/>
      <c r="D22" s="39"/>
      <c r="E22" s="39"/>
      <c r="F22" s="39"/>
      <c r="G22" s="39"/>
      <c r="H22" s="39"/>
      <c r="I22" s="39"/>
      <c r="J22" s="39"/>
    </row>
    <row r="23" spans="1:14">
      <c r="A23" s="39"/>
      <c r="B23" s="39"/>
      <c r="C23" s="39"/>
      <c r="D23" s="39"/>
      <c r="E23" s="39"/>
      <c r="F23" s="39"/>
      <c r="G23" s="39"/>
      <c r="H23" s="39"/>
      <c r="I23" s="39"/>
      <c r="J23" s="39"/>
    </row>
    <row r="24" spans="1:14">
      <c r="A24" s="39"/>
      <c r="B24" s="39"/>
      <c r="C24" s="39"/>
      <c r="D24" s="39"/>
      <c r="E24" s="39"/>
      <c r="F24" s="39"/>
      <c r="G24" s="39"/>
      <c r="H24" s="39"/>
      <c r="I24" s="39"/>
      <c r="J24" s="39"/>
    </row>
    <row r="25" spans="1:14">
      <c r="A25" s="39"/>
      <c r="B25" s="39"/>
      <c r="C25" s="39"/>
      <c r="D25" s="39"/>
      <c r="E25" s="39"/>
      <c r="F25" s="39"/>
      <c r="G25" s="39"/>
      <c r="H25" s="39"/>
      <c r="I25" s="39"/>
      <c r="J25" s="39"/>
    </row>
    <row r="26" spans="1:14">
      <c r="A26" s="39"/>
      <c r="B26" s="39"/>
      <c r="C26" s="39"/>
      <c r="D26" s="39"/>
      <c r="E26" s="39"/>
      <c r="F26" s="39"/>
      <c r="G26" s="39"/>
      <c r="H26" s="39"/>
      <c r="I26" s="39"/>
      <c r="J26" s="39"/>
    </row>
    <row r="27" spans="1:14">
      <c r="A27" s="39"/>
      <c r="B27" s="39"/>
      <c r="C27" s="39"/>
      <c r="D27" s="39"/>
      <c r="E27" s="39"/>
      <c r="F27" s="39"/>
      <c r="G27" s="39"/>
      <c r="H27" s="39"/>
      <c r="I27" s="39"/>
      <c r="J27" s="39"/>
    </row>
    <row r="28" spans="1:14">
      <c r="A28" s="39"/>
      <c r="B28" s="39"/>
      <c r="C28" s="39"/>
      <c r="D28" s="39"/>
      <c r="E28" s="39"/>
      <c r="F28" s="39"/>
      <c r="G28" s="39"/>
      <c r="H28" s="39"/>
      <c r="I28" s="39"/>
      <c r="J28" s="39"/>
    </row>
    <row r="29" spans="1:14">
      <c r="A29" s="39"/>
      <c r="B29" s="39"/>
      <c r="C29" s="39"/>
      <c r="D29" s="39"/>
      <c r="E29" s="39"/>
      <c r="F29" s="39"/>
      <c r="G29" s="39"/>
      <c r="H29" s="39"/>
      <c r="I29" s="39"/>
      <c r="J29" s="39"/>
    </row>
    <row r="30" spans="1:14">
      <c r="A30" s="39"/>
      <c r="B30" s="39"/>
      <c r="C30" s="39"/>
      <c r="D30" s="39"/>
      <c r="E30" s="39"/>
      <c r="F30" s="39"/>
      <c r="G30" s="39"/>
      <c r="H30" s="39"/>
      <c r="I30" s="39"/>
      <c r="J30" s="39"/>
    </row>
    <row r="31" spans="1:14">
      <c r="A31" s="39"/>
      <c r="B31" s="39"/>
      <c r="C31" s="39"/>
      <c r="D31" s="39"/>
      <c r="E31" s="39"/>
      <c r="F31" s="39"/>
      <c r="G31" s="39"/>
      <c r="H31" s="39"/>
      <c r="I31" s="39"/>
      <c r="J31" s="39"/>
    </row>
    <row r="32" spans="1:14">
      <c r="A32" s="39"/>
      <c r="B32" s="39"/>
      <c r="C32" s="39"/>
      <c r="D32" s="39"/>
      <c r="E32" s="39"/>
      <c r="F32" s="39"/>
      <c r="G32" s="39"/>
      <c r="H32" s="39"/>
      <c r="I32" s="39"/>
      <c r="J32" s="39"/>
    </row>
    <row r="33" spans="1:10">
      <c r="A33" s="39"/>
      <c r="B33" s="39"/>
      <c r="C33" s="39"/>
      <c r="D33" s="39"/>
      <c r="E33" s="39"/>
      <c r="F33" s="39"/>
      <c r="G33" s="39"/>
      <c r="H33" s="39"/>
      <c r="I33" s="39"/>
      <c r="J33" s="39"/>
    </row>
    <row r="34" spans="1:10">
      <c r="A34" s="39"/>
      <c r="B34" s="39"/>
      <c r="C34" s="39"/>
      <c r="D34" s="39"/>
      <c r="E34" s="39"/>
      <c r="F34" s="39"/>
      <c r="G34" s="39"/>
      <c r="H34" s="39"/>
      <c r="I34" s="39"/>
      <c r="J34" s="39"/>
    </row>
    <row r="35" spans="1:10">
      <c r="A35" s="39"/>
      <c r="B35" s="39"/>
      <c r="C35" s="39"/>
      <c r="D35" s="39"/>
      <c r="E35" s="39"/>
      <c r="F35" s="39"/>
      <c r="G35" s="39"/>
      <c r="H35" s="39"/>
      <c r="I35" s="39"/>
      <c r="J35" s="39"/>
    </row>
    <row r="36" spans="1:10">
      <c r="A36" s="39"/>
      <c r="B36" s="39"/>
      <c r="C36" s="39"/>
      <c r="D36" s="39"/>
      <c r="E36" s="39"/>
      <c r="F36" s="39"/>
      <c r="G36" s="39"/>
      <c r="H36" s="39"/>
      <c r="I36" s="39"/>
      <c r="J36" s="39"/>
    </row>
    <row r="37" spans="1:10">
      <c r="A37" s="39"/>
      <c r="B37" s="39"/>
      <c r="C37" s="39"/>
      <c r="D37" s="39"/>
      <c r="E37" s="39"/>
      <c r="F37" s="39"/>
      <c r="G37" s="39"/>
      <c r="H37" s="39"/>
      <c r="I37" s="39"/>
      <c r="J37" s="39"/>
    </row>
    <row r="38" spans="1:10">
      <c r="A38" s="39"/>
      <c r="B38" s="39"/>
      <c r="C38" s="39"/>
      <c r="D38" s="39"/>
      <c r="E38" s="39"/>
      <c r="F38" s="39"/>
      <c r="G38" s="39"/>
      <c r="H38" s="39"/>
      <c r="I38" s="39"/>
      <c r="J38" s="39"/>
    </row>
    <row r="39" spans="1:10">
      <c r="A39" s="39"/>
      <c r="B39" s="39"/>
      <c r="C39" s="39"/>
      <c r="D39" s="39"/>
      <c r="E39" s="39"/>
      <c r="F39" s="39"/>
      <c r="G39" s="39"/>
      <c r="H39" s="39"/>
      <c r="I39" s="39"/>
      <c r="J39" s="39"/>
    </row>
    <row r="40" spans="1:10">
      <c r="A40" s="39"/>
      <c r="B40" s="39"/>
      <c r="C40" s="39"/>
      <c r="D40" s="39"/>
      <c r="E40" s="39"/>
      <c r="F40" s="39"/>
      <c r="G40" s="39"/>
      <c r="H40" s="39"/>
      <c r="I40" s="39"/>
      <c r="J40" s="39"/>
    </row>
    <row r="41" spans="1:10">
      <c r="A41" s="39"/>
      <c r="B41" s="39"/>
      <c r="C41" s="39"/>
      <c r="D41" s="39"/>
      <c r="E41" s="39"/>
      <c r="F41" s="39"/>
      <c r="G41" s="39"/>
      <c r="H41" s="39"/>
      <c r="I41" s="39"/>
      <c r="J41" s="39"/>
    </row>
    <row r="42" spans="1:10">
      <c r="A42" s="39"/>
      <c r="B42" s="39"/>
      <c r="C42" s="39"/>
      <c r="D42" s="39"/>
      <c r="E42" s="39"/>
      <c r="F42" s="39"/>
      <c r="G42" s="39"/>
      <c r="H42" s="39"/>
      <c r="I42" s="39"/>
      <c r="J42" s="39"/>
    </row>
    <row r="43" spans="1:10">
      <c r="A43" s="39"/>
      <c r="B43" s="39"/>
      <c r="C43" s="39"/>
      <c r="D43" s="39"/>
      <c r="E43" s="39"/>
      <c r="F43" s="39"/>
      <c r="G43" s="39"/>
      <c r="H43" s="39"/>
      <c r="I43" s="39"/>
      <c r="J43" s="39"/>
    </row>
    <row r="44" spans="1:10">
      <c r="A44" s="39"/>
      <c r="B44" s="39"/>
      <c r="C44" s="39"/>
      <c r="D44" s="39"/>
      <c r="E44" s="39"/>
      <c r="F44" s="39"/>
      <c r="G44" s="39"/>
      <c r="H44" s="39"/>
      <c r="I44" s="39"/>
      <c r="J44" s="39"/>
    </row>
    <row r="45" spans="1:10">
      <c r="A45" s="39"/>
      <c r="B45" s="39"/>
      <c r="C45" s="39"/>
      <c r="D45" s="39"/>
      <c r="E45" s="39"/>
      <c r="F45" s="39"/>
      <c r="G45" s="39"/>
      <c r="H45" s="39"/>
      <c r="I45" s="39"/>
      <c r="J45" s="39"/>
    </row>
    <row r="46" spans="1:10">
      <c r="A46" s="39"/>
      <c r="B46" s="39"/>
      <c r="C46" s="39"/>
      <c r="D46" s="39"/>
      <c r="E46" s="39"/>
      <c r="F46" s="39"/>
      <c r="G46" s="39"/>
      <c r="H46" s="39"/>
      <c r="I46" s="39"/>
      <c r="J46" s="39"/>
    </row>
    <row r="47" spans="1:10">
      <c r="A47" s="39"/>
      <c r="B47" s="39"/>
      <c r="C47" s="39"/>
      <c r="D47" s="39"/>
      <c r="E47" s="39"/>
      <c r="F47" s="39"/>
      <c r="G47" s="39"/>
      <c r="H47" s="39"/>
      <c r="I47" s="39"/>
      <c r="J47" s="39"/>
    </row>
    <row r="48" spans="1:10">
      <c r="A48" s="39"/>
      <c r="B48" s="39"/>
      <c r="C48" s="39"/>
      <c r="D48" s="39"/>
      <c r="E48" s="39"/>
      <c r="F48" s="39"/>
      <c r="G48" s="39"/>
      <c r="H48" s="39"/>
      <c r="I48" s="39"/>
      <c r="J48" s="39"/>
    </row>
    <row r="49" spans="1:10">
      <c r="A49" s="39"/>
      <c r="B49" s="39"/>
      <c r="C49" s="39"/>
      <c r="D49" s="39"/>
      <c r="E49" s="39"/>
      <c r="F49" s="39"/>
      <c r="G49" s="39"/>
      <c r="H49" s="39"/>
      <c r="I49" s="39"/>
      <c r="J49" s="39"/>
    </row>
    <row r="50" spans="1:10">
      <c r="A50" s="39"/>
      <c r="B50" s="39"/>
      <c r="C50" s="39"/>
      <c r="D50" s="39"/>
      <c r="E50" s="39"/>
      <c r="F50" s="39"/>
      <c r="G50" s="39"/>
      <c r="H50" s="39"/>
      <c r="I50" s="39"/>
      <c r="J50" s="39"/>
    </row>
    <row r="51" spans="1:10">
      <c r="A51" s="39"/>
      <c r="B51" s="39"/>
      <c r="C51" s="39"/>
      <c r="D51" s="39"/>
      <c r="E51" s="39"/>
      <c r="F51" s="39"/>
      <c r="G51" s="39"/>
      <c r="H51" s="39"/>
      <c r="I51" s="39"/>
      <c r="J51" s="39"/>
    </row>
    <row r="52" spans="1:10">
      <c r="A52" s="39"/>
      <c r="B52" s="39"/>
      <c r="C52" s="39"/>
      <c r="D52" s="39"/>
      <c r="E52" s="39"/>
      <c r="F52" s="39"/>
      <c r="G52" s="39"/>
      <c r="H52" s="39"/>
      <c r="I52" s="39"/>
      <c r="J52" s="39"/>
    </row>
    <row r="53" spans="1:10">
      <c r="A53" s="39"/>
      <c r="B53" s="39"/>
      <c r="C53" s="39"/>
      <c r="D53" s="39"/>
      <c r="E53" s="39"/>
      <c r="F53" s="39"/>
      <c r="G53" s="39"/>
      <c r="H53" s="39"/>
      <c r="I53" s="39"/>
      <c r="J53" s="39"/>
    </row>
    <row r="54" spans="1:10">
      <c r="A54" s="39"/>
      <c r="B54" s="39"/>
      <c r="C54" s="39"/>
      <c r="D54" s="39"/>
      <c r="E54" s="39"/>
      <c r="F54" s="39"/>
      <c r="G54" s="39"/>
      <c r="H54" s="39"/>
      <c r="I54" s="39"/>
      <c r="J54" s="39"/>
    </row>
    <row r="55" spans="1:10">
      <c r="A55" s="39"/>
      <c r="B55" s="39"/>
      <c r="C55" s="39"/>
      <c r="D55" s="39"/>
      <c r="E55" s="39"/>
      <c r="F55" s="39"/>
      <c r="G55" s="39"/>
      <c r="H55" s="39"/>
      <c r="I55" s="39"/>
      <c r="J55" s="39"/>
    </row>
    <row r="56" spans="1:10">
      <c r="A56" s="39"/>
      <c r="B56" s="39"/>
      <c r="C56" s="39"/>
      <c r="D56" s="39"/>
      <c r="E56" s="39"/>
      <c r="F56" s="39"/>
      <c r="G56" s="39"/>
      <c r="H56" s="39"/>
      <c r="I56" s="39"/>
      <c r="J56" s="39"/>
    </row>
    <row r="57" spans="1:10">
      <c r="A57" s="39"/>
      <c r="B57" s="39"/>
      <c r="C57" s="39"/>
      <c r="D57" s="39"/>
      <c r="E57" s="39"/>
      <c r="F57" s="39"/>
      <c r="G57" s="39"/>
      <c r="H57" s="39"/>
      <c r="I57" s="39"/>
      <c r="J57" s="39"/>
    </row>
    <row r="58" spans="1:10">
      <c r="A58" s="39"/>
      <c r="B58" s="39"/>
      <c r="C58" s="39"/>
      <c r="D58" s="39"/>
      <c r="E58" s="39"/>
      <c r="F58" s="39"/>
      <c r="G58" s="39"/>
      <c r="H58" s="39"/>
      <c r="I58" s="39"/>
      <c r="J58" s="39"/>
    </row>
    <row r="59" spans="1:10">
      <c r="A59" s="39"/>
      <c r="B59" s="39"/>
      <c r="C59" s="39"/>
      <c r="D59" s="39"/>
      <c r="E59" s="39"/>
      <c r="F59" s="39"/>
      <c r="G59" s="39"/>
      <c r="H59" s="39"/>
      <c r="I59" s="39"/>
      <c r="J59" s="39"/>
    </row>
    <row r="60" spans="1:10">
      <c r="A60" s="39"/>
      <c r="B60" s="39"/>
      <c r="C60" s="39"/>
      <c r="D60" s="39"/>
      <c r="E60" s="39"/>
      <c r="F60" s="39"/>
      <c r="G60" s="39"/>
      <c r="H60" s="39"/>
      <c r="I60" s="39"/>
      <c r="J60" s="39"/>
    </row>
    <row r="61" spans="1:10">
      <c r="A61" s="39"/>
      <c r="B61" s="39"/>
      <c r="C61" s="39"/>
      <c r="D61" s="39"/>
      <c r="E61" s="39"/>
      <c r="F61" s="39"/>
      <c r="G61" s="39"/>
      <c r="H61" s="39"/>
      <c r="I61" s="39"/>
      <c r="J61" s="39"/>
    </row>
    <row r="62" spans="1:10">
      <c r="A62" s="39"/>
      <c r="B62" s="39"/>
      <c r="C62" s="39"/>
      <c r="D62" s="39"/>
      <c r="E62" s="39"/>
      <c r="F62" s="39"/>
      <c r="G62" s="39"/>
      <c r="H62" s="39"/>
      <c r="I62" s="39"/>
      <c r="J62" s="39"/>
    </row>
    <row r="63" spans="1:10">
      <c r="A63" s="39"/>
      <c r="B63" s="39"/>
      <c r="C63" s="39"/>
      <c r="D63" s="39"/>
      <c r="E63" s="39"/>
      <c r="F63" s="39"/>
      <c r="G63" s="39"/>
      <c r="H63" s="39"/>
      <c r="I63" s="39"/>
      <c r="J63" s="39"/>
    </row>
    <row r="64" spans="1:10">
      <c r="A64" s="39"/>
      <c r="B64" s="39"/>
      <c r="C64" s="39"/>
      <c r="D64" s="39"/>
      <c r="E64" s="39"/>
      <c r="F64" s="39"/>
      <c r="G64" s="39"/>
      <c r="H64" s="39"/>
      <c r="I64" s="39"/>
      <c r="J64" s="39"/>
    </row>
    <row r="65" spans="1:10">
      <c r="A65" s="39"/>
      <c r="B65" s="39"/>
      <c r="C65" s="39"/>
      <c r="D65" s="39"/>
      <c r="E65" s="39"/>
      <c r="F65" s="39"/>
      <c r="G65" s="39"/>
      <c r="H65" s="39"/>
      <c r="I65" s="39"/>
      <c r="J65" s="39"/>
    </row>
    <row r="66" spans="1:10">
      <c r="A66" s="39"/>
      <c r="B66" s="39"/>
      <c r="C66" s="39"/>
      <c r="D66" s="39"/>
      <c r="E66" s="39"/>
      <c r="F66" s="39"/>
      <c r="G66" s="39"/>
      <c r="H66" s="39"/>
      <c r="I66" s="39"/>
      <c r="J66" s="39"/>
    </row>
    <row r="67" spans="1:10">
      <c r="A67" s="39"/>
      <c r="B67" s="39"/>
      <c r="C67" s="39"/>
      <c r="D67" s="39"/>
      <c r="E67" s="39"/>
      <c r="F67" s="39"/>
      <c r="G67" s="39"/>
      <c r="H67" s="39"/>
      <c r="I67" s="39"/>
      <c r="J67" s="39"/>
    </row>
    <row r="68" spans="1:10">
      <c r="A68" s="39"/>
      <c r="B68" s="39"/>
      <c r="C68" s="39"/>
      <c r="D68" s="39"/>
      <c r="E68" s="39"/>
      <c r="F68" s="39"/>
      <c r="G68" s="39"/>
      <c r="H68" s="39"/>
      <c r="I68" s="39"/>
      <c r="J68" s="39"/>
    </row>
    <row r="69" spans="1:10">
      <c r="A69" s="39"/>
      <c r="B69" s="39"/>
      <c r="C69" s="39"/>
      <c r="D69" s="39"/>
      <c r="E69" s="39"/>
      <c r="F69" s="39"/>
      <c r="G69" s="39"/>
      <c r="H69" s="39"/>
      <c r="I69" s="39"/>
      <c r="J69" s="39"/>
    </row>
    <row r="70" spans="1:10">
      <c r="A70" s="39"/>
      <c r="B70" s="39"/>
      <c r="C70" s="39"/>
      <c r="D70" s="39"/>
      <c r="E70" s="39"/>
      <c r="F70" s="39"/>
      <c r="G70" s="39"/>
      <c r="H70" s="39"/>
      <c r="I70" s="39"/>
      <c r="J70" s="39"/>
    </row>
    <row r="71" spans="1:10">
      <c r="A71" s="39"/>
      <c r="B71" s="39"/>
      <c r="C71" s="39"/>
      <c r="D71" s="39"/>
      <c r="E71" s="39"/>
      <c r="F71" s="39"/>
      <c r="G71" s="39"/>
      <c r="H71" s="39"/>
      <c r="I71" s="39"/>
      <c r="J71" s="39"/>
    </row>
    <row r="72" spans="1:10">
      <c r="A72" s="39"/>
      <c r="B72" s="39"/>
      <c r="C72" s="39"/>
      <c r="D72" s="39"/>
      <c r="E72" s="39"/>
      <c r="F72" s="39"/>
      <c r="G72" s="39"/>
      <c r="H72" s="39"/>
      <c r="I72" s="39"/>
      <c r="J72" s="39"/>
    </row>
    <row r="73" spans="1:10">
      <c r="A73" s="39"/>
      <c r="B73" s="39"/>
      <c r="C73" s="39"/>
      <c r="D73" s="39"/>
      <c r="E73" s="39"/>
      <c r="F73" s="39"/>
      <c r="G73" s="39"/>
      <c r="H73" s="39"/>
      <c r="I73" s="39"/>
      <c r="J73" s="39"/>
    </row>
    <row r="74" spans="1:10">
      <c r="A74" s="39"/>
      <c r="B74" s="39"/>
      <c r="C74" s="39"/>
      <c r="D74" s="39"/>
      <c r="E74" s="39"/>
      <c r="F74" s="39"/>
      <c r="G74" s="39"/>
      <c r="H74" s="39"/>
      <c r="I74" s="39"/>
      <c r="J74" s="39"/>
    </row>
    <row r="75" spans="1:10">
      <c r="A75" s="39"/>
      <c r="B75" s="39"/>
      <c r="C75" s="39"/>
      <c r="D75" s="39"/>
      <c r="E75" s="39"/>
      <c r="F75" s="39"/>
      <c r="G75" s="39"/>
      <c r="H75" s="39"/>
      <c r="I75" s="39"/>
      <c r="J75" s="39"/>
    </row>
    <row r="76" spans="1:10">
      <c r="A76" s="39"/>
      <c r="B76" s="39"/>
      <c r="C76" s="39"/>
      <c r="D76" s="39"/>
      <c r="E76" s="39"/>
      <c r="F76" s="39"/>
      <c r="G76" s="39"/>
      <c r="H76" s="39"/>
      <c r="I76" s="39"/>
      <c r="J76" s="39"/>
    </row>
  </sheetData>
  <mergeCells count="2">
    <mergeCell ref="A2:K2"/>
    <mergeCell ref="A1:K1"/>
  </mergeCells>
  <dataValidations count="1">
    <dataValidation type="list" allowBlank="1" showErrorMessage="1" errorTitle="Valor inválido" error="Selecione um valor da lista." sqref="E8:E76" xr:uid="{00000000-0002-0000-0600-000000000000}">
      <formula1>"Pendente,Pago,Atrasado,Cancelado"</formula1>
    </dataValidation>
  </dataValidations>
  <pageMargins left="0.75" right="0.75" top="1" bottom="1" header="0.5" footer="0.5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tabColor rgb="FFA3001E"/>
  </sheetPr>
  <dimension ref="A1:H43"/>
  <sheetViews>
    <sheetView workbookViewId="0">
      <pane ySplit="6" topLeftCell="A7" activePane="bottomLeft" state="frozen"/>
      <selection pane="bottomLeft"/>
    </sheetView>
  </sheetViews>
  <sheetFormatPr defaultRowHeight="14.4"/>
  <cols>
    <col min="1" max="1" width="12" customWidth="1"/>
    <col min="2" max="4" width="14" customWidth="1"/>
    <col min="5" max="5" width="16" customWidth="1"/>
    <col min="6" max="7" width="8" customWidth="1"/>
    <col min="8" max="8" width="20" customWidth="1"/>
  </cols>
  <sheetData>
    <row r="1" spans="1:8" ht="36" customHeight="1">
      <c r="A1" s="122" t="s">
        <v>214</v>
      </c>
      <c r="B1" s="123"/>
      <c r="C1" s="123"/>
      <c r="D1" s="123"/>
      <c r="E1" s="123"/>
      <c r="F1" s="123"/>
      <c r="G1" s="123"/>
      <c r="H1" s="123"/>
    </row>
    <row r="2" spans="1:8" ht="18" customHeight="1">
      <c r="A2" s="124" t="s">
        <v>215</v>
      </c>
      <c r="B2" s="125"/>
      <c r="C2" s="125"/>
      <c r="D2" s="125"/>
      <c r="E2" s="125"/>
      <c r="F2" s="125"/>
      <c r="G2" s="125"/>
      <c r="H2" s="125"/>
    </row>
    <row r="4" spans="1:8">
      <c r="A4" s="40" t="s">
        <v>216</v>
      </c>
      <c r="B4" s="51">
        <f>'15_CONFIG'!V12</f>
        <v>5000</v>
      </c>
    </row>
    <row r="6" spans="1:8">
      <c r="A6" s="35" t="s">
        <v>217</v>
      </c>
      <c r="B6" s="35" t="s">
        <v>218</v>
      </c>
      <c r="C6" s="35" t="s">
        <v>219</v>
      </c>
      <c r="D6" s="35" t="s">
        <v>220</v>
      </c>
      <c r="E6" s="35" t="s">
        <v>221</v>
      </c>
      <c r="F6" s="35" t="s">
        <v>57</v>
      </c>
      <c r="G6" s="35" t="s">
        <v>222</v>
      </c>
      <c r="H6" s="35" t="s">
        <v>223</v>
      </c>
    </row>
    <row r="7" spans="1:8">
      <c r="A7" s="49">
        <v>46196</v>
      </c>
      <c r="B7" s="48">
        <f>SUMIFS('04_FINANCEIRO'!E:E,'04_FINANCEIRO'!A:A,A7,'04_FINANCEIRO'!B:B,"Receita")</f>
        <v>0</v>
      </c>
      <c r="C7" s="48">
        <f>SUMIFS('04_FINANCEIRO'!E:E,'04_FINANCEIRO'!A:A,A7,'04_FINANCEIRO'!B:B,"Despesa")</f>
        <v>0</v>
      </c>
      <c r="D7" s="48">
        <f t="shared" ref="D7:D36" si="0">B7-C7</f>
        <v>0</v>
      </c>
      <c r="E7" s="48">
        <f>$B$4+D7</f>
        <v>5000</v>
      </c>
      <c r="F7" s="39">
        <f t="shared" ref="F7:F36" si="1">MONTH(A7)</f>
        <v>6</v>
      </c>
      <c r="G7" s="39">
        <f t="shared" ref="G7:G36" si="2">YEAR(A7)</f>
        <v>2026</v>
      </c>
      <c r="H7" s="39"/>
    </row>
    <row r="8" spans="1:8">
      <c r="A8" s="49">
        <v>46197</v>
      </c>
      <c r="B8" s="48">
        <f>SUMIFS('04_FINANCEIRO'!E:E,'04_FINANCEIRO'!A:A,A8,'04_FINANCEIRO'!B:B,"Receita")</f>
        <v>0</v>
      </c>
      <c r="C8" s="48">
        <f>SUMIFS('04_FINANCEIRO'!E:E,'04_FINANCEIRO'!A:A,A8,'04_FINANCEIRO'!B:B,"Despesa")</f>
        <v>0</v>
      </c>
      <c r="D8" s="48">
        <f t="shared" si="0"/>
        <v>0</v>
      </c>
      <c r="E8" s="48">
        <f t="shared" ref="E8:E36" si="3">E7+D8</f>
        <v>5000</v>
      </c>
      <c r="F8" s="39">
        <f t="shared" si="1"/>
        <v>6</v>
      </c>
      <c r="G8" s="39">
        <f t="shared" si="2"/>
        <v>2026</v>
      </c>
      <c r="H8" s="39"/>
    </row>
    <row r="9" spans="1:8">
      <c r="A9" s="49">
        <v>46198</v>
      </c>
      <c r="B9" s="48">
        <f>SUMIFS('04_FINANCEIRO'!E:E,'04_FINANCEIRO'!A:A,A9,'04_FINANCEIRO'!B:B,"Receita")</f>
        <v>0</v>
      </c>
      <c r="C9" s="48">
        <f>SUMIFS('04_FINANCEIRO'!E:E,'04_FINANCEIRO'!A:A,A9,'04_FINANCEIRO'!B:B,"Despesa")</f>
        <v>0</v>
      </c>
      <c r="D9" s="48">
        <f t="shared" si="0"/>
        <v>0</v>
      </c>
      <c r="E9" s="48">
        <f t="shared" si="3"/>
        <v>5000</v>
      </c>
      <c r="F9" s="39">
        <f t="shared" si="1"/>
        <v>6</v>
      </c>
      <c r="G9" s="39">
        <f t="shared" si="2"/>
        <v>2026</v>
      </c>
      <c r="H9" s="39"/>
    </row>
    <row r="10" spans="1:8">
      <c r="A10" s="49">
        <v>46199</v>
      </c>
      <c r="B10" s="48">
        <f>SUMIFS('04_FINANCEIRO'!E:E,'04_FINANCEIRO'!A:A,A10,'04_FINANCEIRO'!B:B,"Receita")</f>
        <v>0</v>
      </c>
      <c r="C10" s="48">
        <f>SUMIFS('04_FINANCEIRO'!E:E,'04_FINANCEIRO'!A:A,A10,'04_FINANCEIRO'!B:B,"Despesa")</f>
        <v>0</v>
      </c>
      <c r="D10" s="48">
        <f t="shared" si="0"/>
        <v>0</v>
      </c>
      <c r="E10" s="48">
        <f t="shared" si="3"/>
        <v>5000</v>
      </c>
      <c r="F10" s="39">
        <f t="shared" si="1"/>
        <v>6</v>
      </c>
      <c r="G10" s="39">
        <f t="shared" si="2"/>
        <v>2026</v>
      </c>
      <c r="H10" s="39"/>
    </row>
    <row r="11" spans="1:8">
      <c r="A11" s="49">
        <v>46200</v>
      </c>
      <c r="B11" s="48">
        <f>SUMIFS('04_FINANCEIRO'!E:E,'04_FINANCEIRO'!A:A,A11,'04_FINANCEIRO'!B:B,"Receita")</f>
        <v>0</v>
      </c>
      <c r="C11" s="48">
        <f>SUMIFS('04_FINANCEIRO'!E:E,'04_FINANCEIRO'!A:A,A11,'04_FINANCEIRO'!B:B,"Despesa")</f>
        <v>0</v>
      </c>
      <c r="D11" s="48">
        <f t="shared" si="0"/>
        <v>0</v>
      </c>
      <c r="E11" s="48">
        <f t="shared" si="3"/>
        <v>5000</v>
      </c>
      <c r="F11" s="39">
        <f t="shared" si="1"/>
        <v>6</v>
      </c>
      <c r="G11" s="39">
        <f t="shared" si="2"/>
        <v>2026</v>
      </c>
      <c r="H11" s="39"/>
    </row>
    <row r="12" spans="1:8">
      <c r="A12" s="49">
        <v>46201</v>
      </c>
      <c r="B12" s="48">
        <f>SUMIFS('04_FINANCEIRO'!E:E,'04_FINANCEIRO'!A:A,A12,'04_FINANCEIRO'!B:B,"Receita")</f>
        <v>0</v>
      </c>
      <c r="C12" s="48">
        <f>SUMIFS('04_FINANCEIRO'!E:E,'04_FINANCEIRO'!A:A,A12,'04_FINANCEIRO'!B:B,"Despesa")</f>
        <v>0</v>
      </c>
      <c r="D12" s="48">
        <f t="shared" si="0"/>
        <v>0</v>
      </c>
      <c r="E12" s="48">
        <f t="shared" si="3"/>
        <v>5000</v>
      </c>
      <c r="F12" s="39">
        <f t="shared" si="1"/>
        <v>6</v>
      </c>
      <c r="G12" s="39">
        <f t="shared" si="2"/>
        <v>2026</v>
      </c>
      <c r="H12" s="39"/>
    </row>
    <row r="13" spans="1:8">
      <c r="A13" s="49">
        <v>46202</v>
      </c>
      <c r="B13" s="48">
        <f>SUMIFS('04_FINANCEIRO'!E:E,'04_FINANCEIRO'!A:A,A13,'04_FINANCEIRO'!B:B,"Receita")</f>
        <v>0</v>
      </c>
      <c r="C13" s="48">
        <f>SUMIFS('04_FINANCEIRO'!E:E,'04_FINANCEIRO'!A:A,A13,'04_FINANCEIRO'!B:B,"Despesa")</f>
        <v>0</v>
      </c>
      <c r="D13" s="48">
        <f t="shared" si="0"/>
        <v>0</v>
      </c>
      <c r="E13" s="48">
        <f t="shared" si="3"/>
        <v>5000</v>
      </c>
      <c r="F13" s="39">
        <f t="shared" si="1"/>
        <v>6</v>
      </c>
      <c r="G13" s="39">
        <f t="shared" si="2"/>
        <v>2026</v>
      </c>
      <c r="H13" s="39"/>
    </row>
    <row r="14" spans="1:8">
      <c r="A14" s="49">
        <v>46203</v>
      </c>
      <c r="B14" s="48">
        <f>SUMIFS('04_FINANCEIRO'!E:E,'04_FINANCEIRO'!A:A,A14,'04_FINANCEIRO'!B:B,"Receita")</f>
        <v>0</v>
      </c>
      <c r="C14" s="48">
        <f>SUMIFS('04_FINANCEIRO'!E:E,'04_FINANCEIRO'!A:A,A14,'04_FINANCEIRO'!B:B,"Despesa")</f>
        <v>0</v>
      </c>
      <c r="D14" s="48">
        <f t="shared" si="0"/>
        <v>0</v>
      </c>
      <c r="E14" s="48">
        <f t="shared" si="3"/>
        <v>5000</v>
      </c>
      <c r="F14" s="39">
        <f t="shared" si="1"/>
        <v>6</v>
      </c>
      <c r="G14" s="39">
        <f t="shared" si="2"/>
        <v>2026</v>
      </c>
      <c r="H14" s="39"/>
    </row>
    <row r="15" spans="1:8">
      <c r="A15" s="49">
        <v>46204</v>
      </c>
      <c r="B15" s="48">
        <f>SUMIFS('04_FINANCEIRO'!E:E,'04_FINANCEIRO'!A:A,A15,'04_FINANCEIRO'!B:B,"Receita")</f>
        <v>0</v>
      </c>
      <c r="C15" s="48">
        <f>SUMIFS('04_FINANCEIRO'!E:E,'04_FINANCEIRO'!A:A,A15,'04_FINANCEIRO'!B:B,"Despesa")</f>
        <v>0</v>
      </c>
      <c r="D15" s="48">
        <f t="shared" si="0"/>
        <v>0</v>
      </c>
      <c r="E15" s="48">
        <f t="shared" si="3"/>
        <v>5000</v>
      </c>
      <c r="F15" s="39">
        <f t="shared" si="1"/>
        <v>7</v>
      </c>
      <c r="G15" s="39">
        <f t="shared" si="2"/>
        <v>2026</v>
      </c>
      <c r="H15" s="39"/>
    </row>
    <row r="16" spans="1:8">
      <c r="A16" s="49">
        <v>46205</v>
      </c>
      <c r="B16" s="48">
        <f>SUMIFS('04_FINANCEIRO'!E:E,'04_FINANCEIRO'!A:A,A16,'04_FINANCEIRO'!B:B,"Receita")</f>
        <v>0</v>
      </c>
      <c r="C16" s="48">
        <f>SUMIFS('04_FINANCEIRO'!E:E,'04_FINANCEIRO'!A:A,A16,'04_FINANCEIRO'!B:B,"Despesa")</f>
        <v>0</v>
      </c>
      <c r="D16" s="48">
        <f t="shared" si="0"/>
        <v>0</v>
      </c>
      <c r="E16" s="48">
        <f t="shared" si="3"/>
        <v>5000</v>
      </c>
      <c r="F16" s="39">
        <f t="shared" si="1"/>
        <v>7</v>
      </c>
      <c r="G16" s="39">
        <f t="shared" si="2"/>
        <v>2026</v>
      </c>
      <c r="H16" s="39"/>
    </row>
    <row r="17" spans="1:8">
      <c r="A17" s="49">
        <v>46206</v>
      </c>
      <c r="B17" s="48">
        <f>SUMIFS('04_FINANCEIRO'!E:E,'04_FINANCEIRO'!A:A,A17,'04_FINANCEIRO'!B:B,"Receita")</f>
        <v>0</v>
      </c>
      <c r="C17" s="48">
        <f>SUMIFS('04_FINANCEIRO'!E:E,'04_FINANCEIRO'!A:A,A17,'04_FINANCEIRO'!B:B,"Despesa")</f>
        <v>0</v>
      </c>
      <c r="D17" s="48">
        <f t="shared" si="0"/>
        <v>0</v>
      </c>
      <c r="E17" s="48">
        <f t="shared" si="3"/>
        <v>5000</v>
      </c>
      <c r="F17" s="39">
        <f t="shared" si="1"/>
        <v>7</v>
      </c>
      <c r="G17" s="39">
        <f t="shared" si="2"/>
        <v>2026</v>
      </c>
      <c r="H17" s="39"/>
    </row>
    <row r="18" spans="1:8">
      <c r="A18" s="49">
        <v>46207</v>
      </c>
      <c r="B18" s="48">
        <f>SUMIFS('04_FINANCEIRO'!E:E,'04_FINANCEIRO'!A:A,A18,'04_FINANCEIRO'!B:B,"Receita")</f>
        <v>0</v>
      </c>
      <c r="C18" s="48">
        <f>SUMIFS('04_FINANCEIRO'!E:E,'04_FINANCEIRO'!A:A,A18,'04_FINANCEIRO'!B:B,"Despesa")</f>
        <v>0</v>
      </c>
      <c r="D18" s="48">
        <f t="shared" si="0"/>
        <v>0</v>
      </c>
      <c r="E18" s="48">
        <f t="shared" si="3"/>
        <v>5000</v>
      </c>
      <c r="F18" s="39">
        <f t="shared" si="1"/>
        <v>7</v>
      </c>
      <c r="G18" s="39">
        <f t="shared" si="2"/>
        <v>2026</v>
      </c>
      <c r="H18" s="39"/>
    </row>
    <row r="19" spans="1:8">
      <c r="A19" s="49">
        <v>46208</v>
      </c>
      <c r="B19" s="48">
        <f>SUMIFS('04_FINANCEIRO'!E:E,'04_FINANCEIRO'!A:A,A19,'04_FINANCEIRO'!B:B,"Receita")</f>
        <v>0</v>
      </c>
      <c r="C19" s="48">
        <f>SUMIFS('04_FINANCEIRO'!E:E,'04_FINANCEIRO'!A:A,A19,'04_FINANCEIRO'!B:B,"Despesa")</f>
        <v>0</v>
      </c>
      <c r="D19" s="48">
        <f t="shared" si="0"/>
        <v>0</v>
      </c>
      <c r="E19" s="48">
        <f t="shared" si="3"/>
        <v>5000</v>
      </c>
      <c r="F19" s="39">
        <f t="shared" si="1"/>
        <v>7</v>
      </c>
      <c r="G19" s="39">
        <f t="shared" si="2"/>
        <v>2026</v>
      </c>
      <c r="H19" s="39"/>
    </row>
    <row r="20" spans="1:8">
      <c r="A20" s="49">
        <v>46209</v>
      </c>
      <c r="B20" s="48">
        <f>SUMIFS('04_FINANCEIRO'!E:E,'04_FINANCEIRO'!A:A,A20,'04_FINANCEIRO'!B:B,"Receita")</f>
        <v>0</v>
      </c>
      <c r="C20" s="48">
        <f>SUMIFS('04_FINANCEIRO'!E:E,'04_FINANCEIRO'!A:A,A20,'04_FINANCEIRO'!B:B,"Despesa")</f>
        <v>0</v>
      </c>
      <c r="D20" s="48">
        <f t="shared" si="0"/>
        <v>0</v>
      </c>
      <c r="E20" s="48">
        <f t="shared" si="3"/>
        <v>5000</v>
      </c>
      <c r="F20" s="39">
        <f t="shared" si="1"/>
        <v>7</v>
      </c>
      <c r="G20" s="39">
        <f t="shared" si="2"/>
        <v>2026</v>
      </c>
      <c r="H20" s="39"/>
    </row>
    <row r="21" spans="1:8">
      <c r="A21" s="49">
        <v>46210</v>
      </c>
      <c r="B21" s="48">
        <f>SUMIFS('04_FINANCEIRO'!E:E,'04_FINANCEIRO'!A:A,A21,'04_FINANCEIRO'!B:B,"Receita")</f>
        <v>0</v>
      </c>
      <c r="C21" s="48">
        <f>SUMIFS('04_FINANCEIRO'!E:E,'04_FINANCEIRO'!A:A,A21,'04_FINANCEIRO'!B:B,"Despesa")</f>
        <v>0</v>
      </c>
      <c r="D21" s="48">
        <f t="shared" si="0"/>
        <v>0</v>
      </c>
      <c r="E21" s="48">
        <f t="shared" si="3"/>
        <v>5000</v>
      </c>
      <c r="F21" s="39">
        <f t="shared" si="1"/>
        <v>7</v>
      </c>
      <c r="G21" s="39">
        <f t="shared" si="2"/>
        <v>2026</v>
      </c>
      <c r="H21" s="39"/>
    </row>
    <row r="22" spans="1:8">
      <c r="A22" s="49">
        <v>46211</v>
      </c>
      <c r="B22" s="48">
        <f>SUMIFS('04_FINANCEIRO'!E:E,'04_FINANCEIRO'!A:A,A22,'04_FINANCEIRO'!B:B,"Receita")</f>
        <v>0</v>
      </c>
      <c r="C22" s="48">
        <f>SUMIFS('04_FINANCEIRO'!E:E,'04_FINANCEIRO'!A:A,A22,'04_FINANCEIRO'!B:B,"Despesa")</f>
        <v>0</v>
      </c>
      <c r="D22" s="48">
        <f t="shared" si="0"/>
        <v>0</v>
      </c>
      <c r="E22" s="48">
        <f t="shared" si="3"/>
        <v>5000</v>
      </c>
      <c r="F22" s="39">
        <f t="shared" si="1"/>
        <v>7</v>
      </c>
      <c r="G22" s="39">
        <f t="shared" si="2"/>
        <v>2026</v>
      </c>
      <c r="H22" s="39"/>
    </row>
    <row r="23" spans="1:8">
      <c r="A23" s="49">
        <v>46212</v>
      </c>
      <c r="B23" s="48">
        <f>SUMIFS('04_FINANCEIRO'!E:E,'04_FINANCEIRO'!A:A,A23,'04_FINANCEIRO'!B:B,"Receita")</f>
        <v>0</v>
      </c>
      <c r="C23" s="48">
        <f>SUMIFS('04_FINANCEIRO'!E:E,'04_FINANCEIRO'!A:A,A23,'04_FINANCEIRO'!B:B,"Despesa")</f>
        <v>0</v>
      </c>
      <c r="D23" s="48">
        <f t="shared" si="0"/>
        <v>0</v>
      </c>
      <c r="E23" s="48">
        <f t="shared" si="3"/>
        <v>5000</v>
      </c>
      <c r="F23" s="39">
        <f t="shared" si="1"/>
        <v>7</v>
      </c>
      <c r="G23" s="39">
        <f t="shared" si="2"/>
        <v>2026</v>
      </c>
      <c r="H23" s="39"/>
    </row>
    <row r="24" spans="1:8">
      <c r="A24" s="49">
        <v>46213</v>
      </c>
      <c r="B24" s="48">
        <f>SUMIFS('04_FINANCEIRO'!E:E,'04_FINANCEIRO'!A:A,A24,'04_FINANCEIRO'!B:B,"Receita")</f>
        <v>0</v>
      </c>
      <c r="C24" s="48">
        <f>SUMIFS('04_FINANCEIRO'!E:E,'04_FINANCEIRO'!A:A,A24,'04_FINANCEIRO'!B:B,"Despesa")</f>
        <v>0</v>
      </c>
      <c r="D24" s="48">
        <f t="shared" si="0"/>
        <v>0</v>
      </c>
      <c r="E24" s="48">
        <f t="shared" si="3"/>
        <v>5000</v>
      </c>
      <c r="F24" s="39">
        <f t="shared" si="1"/>
        <v>7</v>
      </c>
      <c r="G24" s="39">
        <f t="shared" si="2"/>
        <v>2026</v>
      </c>
      <c r="H24" s="39"/>
    </row>
    <row r="25" spans="1:8">
      <c r="A25" s="49">
        <v>46214</v>
      </c>
      <c r="B25" s="48">
        <f>SUMIFS('04_FINANCEIRO'!E:E,'04_FINANCEIRO'!A:A,A25,'04_FINANCEIRO'!B:B,"Receita")</f>
        <v>0</v>
      </c>
      <c r="C25" s="48">
        <f>SUMIFS('04_FINANCEIRO'!E:E,'04_FINANCEIRO'!A:A,A25,'04_FINANCEIRO'!B:B,"Despesa")</f>
        <v>0</v>
      </c>
      <c r="D25" s="48">
        <f t="shared" si="0"/>
        <v>0</v>
      </c>
      <c r="E25" s="48">
        <f t="shared" si="3"/>
        <v>5000</v>
      </c>
      <c r="F25" s="39">
        <f t="shared" si="1"/>
        <v>7</v>
      </c>
      <c r="G25" s="39">
        <f t="shared" si="2"/>
        <v>2026</v>
      </c>
      <c r="H25" s="39"/>
    </row>
    <row r="26" spans="1:8">
      <c r="A26" s="49">
        <v>46215</v>
      </c>
      <c r="B26" s="48">
        <f>SUMIFS('04_FINANCEIRO'!E:E,'04_FINANCEIRO'!A:A,A26,'04_FINANCEIRO'!B:B,"Receita")</f>
        <v>0</v>
      </c>
      <c r="C26" s="48">
        <f>SUMIFS('04_FINANCEIRO'!E:E,'04_FINANCEIRO'!A:A,A26,'04_FINANCEIRO'!B:B,"Despesa")</f>
        <v>0</v>
      </c>
      <c r="D26" s="48">
        <f t="shared" si="0"/>
        <v>0</v>
      </c>
      <c r="E26" s="48">
        <f t="shared" si="3"/>
        <v>5000</v>
      </c>
      <c r="F26" s="39">
        <f t="shared" si="1"/>
        <v>7</v>
      </c>
      <c r="G26" s="39">
        <f t="shared" si="2"/>
        <v>2026</v>
      </c>
      <c r="H26" s="39"/>
    </row>
    <row r="27" spans="1:8">
      <c r="A27" s="49">
        <v>46216</v>
      </c>
      <c r="B27" s="48">
        <f>SUMIFS('04_FINANCEIRO'!E:E,'04_FINANCEIRO'!A:A,A27,'04_FINANCEIRO'!B:B,"Receita")</f>
        <v>0</v>
      </c>
      <c r="C27" s="48">
        <f>SUMIFS('04_FINANCEIRO'!E:E,'04_FINANCEIRO'!A:A,A27,'04_FINANCEIRO'!B:B,"Despesa")</f>
        <v>0</v>
      </c>
      <c r="D27" s="48">
        <f t="shared" si="0"/>
        <v>0</v>
      </c>
      <c r="E27" s="48">
        <f t="shared" si="3"/>
        <v>5000</v>
      </c>
      <c r="F27" s="39">
        <f t="shared" si="1"/>
        <v>7</v>
      </c>
      <c r="G27" s="39">
        <f t="shared" si="2"/>
        <v>2026</v>
      </c>
      <c r="H27" s="39"/>
    </row>
    <row r="28" spans="1:8">
      <c r="A28" s="49">
        <v>46217</v>
      </c>
      <c r="B28" s="48">
        <f>SUMIFS('04_FINANCEIRO'!E:E,'04_FINANCEIRO'!A:A,A28,'04_FINANCEIRO'!B:B,"Receita")</f>
        <v>0</v>
      </c>
      <c r="C28" s="48">
        <f>SUMIFS('04_FINANCEIRO'!E:E,'04_FINANCEIRO'!A:A,A28,'04_FINANCEIRO'!B:B,"Despesa")</f>
        <v>0</v>
      </c>
      <c r="D28" s="48">
        <f t="shared" si="0"/>
        <v>0</v>
      </c>
      <c r="E28" s="48">
        <f t="shared" si="3"/>
        <v>5000</v>
      </c>
      <c r="F28" s="39">
        <f t="shared" si="1"/>
        <v>7</v>
      </c>
      <c r="G28" s="39">
        <f t="shared" si="2"/>
        <v>2026</v>
      </c>
      <c r="H28" s="39"/>
    </row>
    <row r="29" spans="1:8">
      <c r="A29" s="49">
        <v>46218</v>
      </c>
      <c r="B29" s="48">
        <f>SUMIFS('04_FINANCEIRO'!E:E,'04_FINANCEIRO'!A:A,A29,'04_FINANCEIRO'!B:B,"Receita")</f>
        <v>0</v>
      </c>
      <c r="C29" s="48">
        <f>SUMIFS('04_FINANCEIRO'!E:E,'04_FINANCEIRO'!A:A,A29,'04_FINANCEIRO'!B:B,"Despesa")</f>
        <v>0</v>
      </c>
      <c r="D29" s="48">
        <f t="shared" si="0"/>
        <v>0</v>
      </c>
      <c r="E29" s="48">
        <f t="shared" si="3"/>
        <v>5000</v>
      </c>
      <c r="F29" s="39">
        <f t="shared" si="1"/>
        <v>7</v>
      </c>
      <c r="G29" s="39">
        <f t="shared" si="2"/>
        <v>2026</v>
      </c>
      <c r="H29" s="39"/>
    </row>
    <row r="30" spans="1:8">
      <c r="A30" s="49">
        <v>46219</v>
      </c>
      <c r="B30" s="48">
        <f>SUMIFS('04_FINANCEIRO'!E:E,'04_FINANCEIRO'!A:A,A30,'04_FINANCEIRO'!B:B,"Receita")</f>
        <v>0</v>
      </c>
      <c r="C30" s="48">
        <f>SUMIFS('04_FINANCEIRO'!E:E,'04_FINANCEIRO'!A:A,A30,'04_FINANCEIRO'!B:B,"Despesa")</f>
        <v>0</v>
      </c>
      <c r="D30" s="48">
        <f t="shared" si="0"/>
        <v>0</v>
      </c>
      <c r="E30" s="48">
        <f t="shared" si="3"/>
        <v>5000</v>
      </c>
      <c r="F30" s="39">
        <f t="shared" si="1"/>
        <v>7</v>
      </c>
      <c r="G30" s="39">
        <f t="shared" si="2"/>
        <v>2026</v>
      </c>
      <c r="H30" s="39"/>
    </row>
    <row r="31" spans="1:8">
      <c r="A31" s="49">
        <v>46220</v>
      </c>
      <c r="B31" s="48">
        <f>SUMIFS('04_FINANCEIRO'!E:E,'04_FINANCEIRO'!A:A,A31,'04_FINANCEIRO'!B:B,"Receita")</f>
        <v>0</v>
      </c>
      <c r="C31" s="48">
        <f>SUMIFS('04_FINANCEIRO'!E:E,'04_FINANCEIRO'!A:A,A31,'04_FINANCEIRO'!B:B,"Despesa")</f>
        <v>0</v>
      </c>
      <c r="D31" s="48">
        <f t="shared" si="0"/>
        <v>0</v>
      </c>
      <c r="E31" s="48">
        <f t="shared" si="3"/>
        <v>5000</v>
      </c>
      <c r="F31" s="39">
        <f t="shared" si="1"/>
        <v>7</v>
      </c>
      <c r="G31" s="39">
        <f t="shared" si="2"/>
        <v>2026</v>
      </c>
      <c r="H31" s="39"/>
    </row>
    <row r="32" spans="1:8">
      <c r="A32" s="49">
        <v>46221</v>
      </c>
      <c r="B32" s="48">
        <f>SUMIFS('04_FINANCEIRO'!E:E,'04_FINANCEIRO'!A:A,A32,'04_FINANCEIRO'!B:B,"Receita")</f>
        <v>0</v>
      </c>
      <c r="C32" s="48">
        <f>SUMIFS('04_FINANCEIRO'!E:E,'04_FINANCEIRO'!A:A,A32,'04_FINANCEIRO'!B:B,"Despesa")</f>
        <v>0</v>
      </c>
      <c r="D32" s="48">
        <f t="shared" si="0"/>
        <v>0</v>
      </c>
      <c r="E32" s="48">
        <f t="shared" si="3"/>
        <v>5000</v>
      </c>
      <c r="F32" s="39">
        <f t="shared" si="1"/>
        <v>7</v>
      </c>
      <c r="G32" s="39">
        <f t="shared" si="2"/>
        <v>2026</v>
      </c>
      <c r="H32" s="39"/>
    </row>
    <row r="33" spans="1:8">
      <c r="A33" s="49">
        <v>46222</v>
      </c>
      <c r="B33" s="48">
        <f>SUMIFS('04_FINANCEIRO'!E:E,'04_FINANCEIRO'!A:A,A33,'04_FINANCEIRO'!B:B,"Receita")</f>
        <v>0</v>
      </c>
      <c r="C33" s="48">
        <f>SUMIFS('04_FINANCEIRO'!E:E,'04_FINANCEIRO'!A:A,A33,'04_FINANCEIRO'!B:B,"Despesa")</f>
        <v>0</v>
      </c>
      <c r="D33" s="48">
        <f t="shared" si="0"/>
        <v>0</v>
      </c>
      <c r="E33" s="48">
        <f t="shared" si="3"/>
        <v>5000</v>
      </c>
      <c r="F33" s="39">
        <f t="shared" si="1"/>
        <v>7</v>
      </c>
      <c r="G33" s="39">
        <f t="shared" si="2"/>
        <v>2026</v>
      </c>
      <c r="H33" s="39"/>
    </row>
    <row r="34" spans="1:8">
      <c r="A34" s="49">
        <v>46223</v>
      </c>
      <c r="B34" s="48">
        <f>SUMIFS('04_FINANCEIRO'!E:E,'04_FINANCEIRO'!A:A,A34,'04_FINANCEIRO'!B:B,"Receita")</f>
        <v>0</v>
      </c>
      <c r="C34" s="48">
        <f>SUMIFS('04_FINANCEIRO'!E:E,'04_FINANCEIRO'!A:A,A34,'04_FINANCEIRO'!B:B,"Despesa")</f>
        <v>0</v>
      </c>
      <c r="D34" s="48">
        <f t="shared" si="0"/>
        <v>0</v>
      </c>
      <c r="E34" s="48">
        <f t="shared" si="3"/>
        <v>5000</v>
      </c>
      <c r="F34" s="39">
        <f t="shared" si="1"/>
        <v>7</v>
      </c>
      <c r="G34" s="39">
        <f t="shared" si="2"/>
        <v>2026</v>
      </c>
      <c r="H34" s="39"/>
    </row>
    <row r="35" spans="1:8">
      <c r="A35" s="49">
        <v>46224</v>
      </c>
      <c r="B35" s="48">
        <f>SUMIFS('04_FINANCEIRO'!E:E,'04_FINANCEIRO'!A:A,A35,'04_FINANCEIRO'!B:B,"Receita")</f>
        <v>0</v>
      </c>
      <c r="C35" s="48">
        <f>SUMIFS('04_FINANCEIRO'!E:E,'04_FINANCEIRO'!A:A,A35,'04_FINANCEIRO'!B:B,"Despesa")</f>
        <v>0</v>
      </c>
      <c r="D35" s="48">
        <f t="shared" si="0"/>
        <v>0</v>
      </c>
      <c r="E35" s="48">
        <f t="shared" si="3"/>
        <v>5000</v>
      </c>
      <c r="F35" s="39">
        <f t="shared" si="1"/>
        <v>7</v>
      </c>
      <c r="G35" s="39">
        <f t="shared" si="2"/>
        <v>2026</v>
      </c>
      <c r="H35" s="39"/>
    </row>
    <row r="36" spans="1:8">
      <c r="A36" s="49">
        <v>46225</v>
      </c>
      <c r="B36" s="48">
        <f>SUMIFS('04_FINANCEIRO'!E:E,'04_FINANCEIRO'!A:A,A36,'04_FINANCEIRO'!B:B,"Receita")</f>
        <v>0</v>
      </c>
      <c r="C36" s="48">
        <f>SUMIFS('04_FINANCEIRO'!E:E,'04_FINANCEIRO'!A:A,A36,'04_FINANCEIRO'!B:B,"Despesa")</f>
        <v>0</v>
      </c>
      <c r="D36" s="48">
        <f t="shared" si="0"/>
        <v>0</v>
      </c>
      <c r="E36" s="48">
        <f t="shared" si="3"/>
        <v>5000</v>
      </c>
      <c r="F36" s="39">
        <f t="shared" si="1"/>
        <v>7</v>
      </c>
      <c r="G36" s="39">
        <f t="shared" si="2"/>
        <v>2026</v>
      </c>
      <c r="H36" s="39"/>
    </row>
    <row r="38" spans="1:8" ht="18">
      <c r="A38" s="52" t="s">
        <v>224</v>
      </c>
    </row>
    <row r="39" spans="1:8">
      <c r="A39" s="53" t="s">
        <v>225</v>
      </c>
      <c r="B39" s="48">
        <f>SUM(B7:B36)</f>
        <v>0</v>
      </c>
    </row>
    <row r="40" spans="1:8">
      <c r="A40" s="53" t="s">
        <v>226</v>
      </c>
      <c r="B40" s="48">
        <f>SUM(C7:C36)</f>
        <v>0</v>
      </c>
    </row>
    <row r="41" spans="1:8">
      <c r="A41" s="53" t="s">
        <v>227</v>
      </c>
      <c r="B41" s="48">
        <f ca="1">SUMIFS(D7:D36,F7:F36,MONTH(TODAY()),G7:G36,YEAR(TODAY()))</f>
        <v>0</v>
      </c>
    </row>
    <row r="42" spans="1:8">
      <c r="A42" s="53" t="s">
        <v>228</v>
      </c>
      <c r="B42" s="48">
        <f ca="1">SUMIFS(D7:D36,G7:G36,YEAR(TODAY()))</f>
        <v>0</v>
      </c>
    </row>
    <row r="43" spans="1:8">
      <c r="A43" s="53" t="s">
        <v>229</v>
      </c>
      <c r="B43" s="48">
        <f>E36</f>
        <v>5000</v>
      </c>
    </row>
  </sheetData>
  <mergeCells count="2">
    <mergeCell ref="A2:H2"/>
    <mergeCell ref="A1:H1"/>
  </mergeCell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A3001E"/>
  </sheetPr>
  <dimension ref="A1:J54"/>
  <sheetViews>
    <sheetView workbookViewId="0">
      <pane ySplit="5" topLeftCell="A6" activePane="bottomLeft" state="frozen"/>
      <selection pane="bottomLeft"/>
    </sheetView>
  </sheetViews>
  <sheetFormatPr defaultRowHeight="14.4"/>
  <cols>
    <col min="1" max="1" width="6" customWidth="1"/>
    <col min="2" max="2" width="22" customWidth="1"/>
    <col min="3" max="4" width="14" customWidth="1"/>
    <col min="5" max="8" width="12" customWidth="1"/>
    <col min="9" max="9" width="10" customWidth="1"/>
    <col min="10" max="10" width="12" customWidth="1"/>
  </cols>
  <sheetData>
    <row r="1" spans="1:10" ht="36" customHeight="1">
      <c r="A1" s="122" t="s">
        <v>230</v>
      </c>
      <c r="B1" s="123"/>
      <c r="C1" s="123"/>
      <c r="D1" s="123"/>
      <c r="E1" s="123"/>
      <c r="F1" s="123"/>
      <c r="G1" s="123"/>
      <c r="H1" s="123"/>
      <c r="I1" s="123"/>
      <c r="J1" s="123"/>
    </row>
    <row r="2" spans="1:10" ht="18" customHeight="1">
      <c r="A2" s="124" t="s">
        <v>231</v>
      </c>
      <c r="B2" s="125"/>
      <c r="C2" s="125"/>
      <c r="D2" s="125"/>
      <c r="E2" s="125"/>
      <c r="F2" s="125"/>
      <c r="G2" s="125"/>
      <c r="H2" s="125"/>
      <c r="I2" s="125"/>
      <c r="J2" s="125"/>
    </row>
    <row r="4" spans="1:10">
      <c r="A4" t="s">
        <v>232</v>
      </c>
      <c r="B4" s="54">
        <f>'04_FINANCEIRO'!N12</f>
        <v>0</v>
      </c>
    </row>
    <row r="5" spans="1:10" ht="28.8">
      <c r="A5" s="35" t="s">
        <v>70</v>
      </c>
      <c r="B5" s="35" t="s">
        <v>177</v>
      </c>
      <c r="C5" s="35" t="s">
        <v>73</v>
      </c>
      <c r="D5" s="35" t="s">
        <v>179</v>
      </c>
      <c r="E5" s="35" t="s">
        <v>198</v>
      </c>
      <c r="F5" s="35" t="s">
        <v>181</v>
      </c>
      <c r="G5" s="35" t="s">
        <v>233</v>
      </c>
      <c r="H5" s="35" t="s">
        <v>199</v>
      </c>
      <c r="I5" s="35" t="s">
        <v>200</v>
      </c>
      <c r="J5" s="35" t="s">
        <v>182</v>
      </c>
    </row>
    <row r="6" spans="1:10">
      <c r="A6" s="39">
        <v>4</v>
      </c>
      <c r="B6" s="39" t="s">
        <v>108</v>
      </c>
      <c r="C6" s="39" t="s">
        <v>107</v>
      </c>
      <c r="D6" s="39" t="s">
        <v>203</v>
      </c>
      <c r="E6" s="48">
        <v>133.02000000000001</v>
      </c>
      <c r="F6" s="49">
        <v>46213</v>
      </c>
      <c r="G6" s="39">
        <f t="shared" ref="G6:G14" ca="1" si="0">MAX(0,TODAY()-F6)</f>
        <v>12</v>
      </c>
      <c r="H6" s="39" t="s">
        <v>187</v>
      </c>
      <c r="I6" s="39"/>
      <c r="J6" s="39"/>
    </row>
    <row r="7" spans="1:10">
      <c r="A7" s="39">
        <v>8</v>
      </c>
      <c r="B7" s="39" t="s">
        <v>122</v>
      </c>
      <c r="C7" s="39" t="s">
        <v>121</v>
      </c>
      <c r="D7" s="39" t="s">
        <v>203</v>
      </c>
      <c r="E7" s="48">
        <v>112.54</v>
      </c>
      <c r="F7" s="49">
        <v>46213</v>
      </c>
      <c r="G7" s="39">
        <f t="shared" ca="1" si="0"/>
        <v>12</v>
      </c>
      <c r="H7" s="39" t="s">
        <v>187</v>
      </c>
      <c r="I7" s="39"/>
      <c r="J7" s="39"/>
    </row>
    <row r="8" spans="1:10">
      <c r="A8" s="39">
        <v>12</v>
      </c>
      <c r="B8" s="39" t="s">
        <v>131</v>
      </c>
      <c r="C8" s="39" t="s">
        <v>130</v>
      </c>
      <c r="D8" s="39" t="s">
        <v>203</v>
      </c>
      <c r="E8" s="48">
        <v>102.3</v>
      </c>
      <c r="F8" s="49">
        <v>46213</v>
      </c>
      <c r="G8" s="39">
        <f t="shared" ca="1" si="0"/>
        <v>12</v>
      </c>
      <c r="H8" s="39" t="s">
        <v>187</v>
      </c>
      <c r="I8" s="39"/>
      <c r="J8" s="39"/>
    </row>
    <row r="9" spans="1:10">
      <c r="A9" s="39">
        <v>16</v>
      </c>
      <c r="B9" s="39" t="s">
        <v>139</v>
      </c>
      <c r="C9" s="39" t="s">
        <v>138</v>
      </c>
      <c r="D9" s="39" t="s">
        <v>203</v>
      </c>
      <c r="E9" s="48">
        <v>92.06</v>
      </c>
      <c r="F9" s="49">
        <v>46213</v>
      </c>
      <c r="G9" s="39">
        <f t="shared" ca="1" si="0"/>
        <v>12</v>
      </c>
      <c r="H9" s="39" t="s">
        <v>187</v>
      </c>
      <c r="I9" s="39"/>
      <c r="J9" s="39"/>
    </row>
    <row r="10" spans="1:10">
      <c r="A10" s="39">
        <v>20</v>
      </c>
      <c r="B10" s="39" t="s">
        <v>147</v>
      </c>
      <c r="C10" s="39" t="s">
        <v>146</v>
      </c>
      <c r="D10" s="39" t="s">
        <v>203</v>
      </c>
      <c r="E10" s="48">
        <v>133.02000000000001</v>
      </c>
      <c r="F10" s="49">
        <v>46213</v>
      </c>
      <c r="G10" s="39">
        <f t="shared" ca="1" si="0"/>
        <v>12</v>
      </c>
      <c r="H10" s="39" t="s">
        <v>187</v>
      </c>
      <c r="I10" s="39"/>
      <c r="J10" s="39"/>
    </row>
    <row r="11" spans="1:10">
      <c r="A11" s="39">
        <v>24</v>
      </c>
      <c r="B11" s="39" t="s">
        <v>154</v>
      </c>
      <c r="C11" s="39" t="s">
        <v>153</v>
      </c>
      <c r="D11" s="39" t="s">
        <v>203</v>
      </c>
      <c r="E11" s="48">
        <v>358.4</v>
      </c>
      <c r="F11" s="49">
        <v>46213</v>
      </c>
      <c r="G11" s="39">
        <f t="shared" ca="1" si="0"/>
        <v>12</v>
      </c>
      <c r="H11" s="39" t="s">
        <v>187</v>
      </c>
      <c r="I11" s="39"/>
      <c r="J11" s="39"/>
    </row>
    <row r="12" spans="1:10">
      <c r="A12" s="39">
        <v>27</v>
      </c>
      <c r="B12" s="39" t="s">
        <v>161</v>
      </c>
      <c r="C12" s="39" t="s">
        <v>160</v>
      </c>
      <c r="D12" s="39" t="s">
        <v>208</v>
      </c>
      <c r="E12" s="48">
        <v>134.32</v>
      </c>
      <c r="F12" s="49">
        <v>46183</v>
      </c>
      <c r="G12" s="39">
        <f t="shared" ca="1" si="0"/>
        <v>42</v>
      </c>
      <c r="H12" s="39" t="s">
        <v>187</v>
      </c>
      <c r="I12" s="39"/>
      <c r="J12" s="39"/>
    </row>
    <row r="13" spans="1:10">
      <c r="A13" s="39">
        <v>28</v>
      </c>
      <c r="B13" s="39" t="s">
        <v>161</v>
      </c>
      <c r="C13" s="39" t="s">
        <v>160</v>
      </c>
      <c r="D13" s="39" t="s">
        <v>203</v>
      </c>
      <c r="E13" s="48">
        <v>133.02000000000001</v>
      </c>
      <c r="F13" s="49">
        <v>46213</v>
      </c>
      <c r="G13" s="39">
        <f t="shared" ca="1" si="0"/>
        <v>12</v>
      </c>
      <c r="H13" s="39" t="s">
        <v>187</v>
      </c>
      <c r="I13" s="39"/>
      <c r="J13" s="39"/>
    </row>
    <row r="14" spans="1:10">
      <c r="A14" s="39">
        <v>32</v>
      </c>
      <c r="B14" s="39" t="s">
        <v>168</v>
      </c>
      <c r="C14" s="39" t="s">
        <v>167</v>
      </c>
      <c r="D14" s="39" t="s">
        <v>203</v>
      </c>
      <c r="E14" s="48">
        <v>112.54</v>
      </c>
      <c r="F14" s="49">
        <v>46213</v>
      </c>
      <c r="G14" s="39">
        <f t="shared" ca="1" si="0"/>
        <v>12</v>
      </c>
      <c r="H14" s="39" t="s">
        <v>187</v>
      </c>
      <c r="I14" s="39"/>
      <c r="J14" s="39"/>
    </row>
    <row r="15" spans="1:10">
      <c r="A15" s="39"/>
      <c r="B15" s="39"/>
      <c r="C15" s="39"/>
      <c r="D15" s="39"/>
      <c r="E15" s="39"/>
      <c r="F15" s="39"/>
      <c r="G15" s="39" t="str">
        <f t="shared" ref="G15:G54" ca="1" si="1">IF(F15="","",MAX(0,TODAY()-F15))</f>
        <v/>
      </c>
      <c r="H15" s="39"/>
      <c r="I15" s="39"/>
      <c r="J15" s="39"/>
    </row>
    <row r="16" spans="1:10">
      <c r="A16" s="39"/>
      <c r="B16" s="39"/>
      <c r="C16" s="39"/>
      <c r="D16" s="39"/>
      <c r="E16" s="39"/>
      <c r="F16" s="39"/>
      <c r="G16" s="39" t="str">
        <f t="shared" ca="1" si="1"/>
        <v/>
      </c>
      <c r="H16" s="39"/>
      <c r="I16" s="39"/>
      <c r="J16" s="39"/>
    </row>
    <row r="17" spans="1:10">
      <c r="A17" s="39"/>
      <c r="B17" s="39"/>
      <c r="C17" s="39"/>
      <c r="D17" s="39"/>
      <c r="E17" s="39"/>
      <c r="F17" s="39"/>
      <c r="G17" s="39" t="str">
        <f t="shared" ca="1" si="1"/>
        <v/>
      </c>
      <c r="H17" s="39"/>
      <c r="I17" s="39"/>
      <c r="J17" s="39"/>
    </row>
    <row r="18" spans="1:10">
      <c r="A18" s="39"/>
      <c r="B18" s="39"/>
      <c r="C18" s="39"/>
      <c r="D18" s="39"/>
      <c r="E18" s="39"/>
      <c r="F18" s="39"/>
      <c r="G18" s="39" t="str">
        <f t="shared" ca="1" si="1"/>
        <v/>
      </c>
      <c r="H18" s="39"/>
      <c r="I18" s="39"/>
      <c r="J18" s="39"/>
    </row>
    <row r="19" spans="1:10">
      <c r="A19" s="39"/>
      <c r="B19" s="39"/>
      <c r="C19" s="39"/>
      <c r="D19" s="39"/>
      <c r="E19" s="39"/>
      <c r="F19" s="39"/>
      <c r="G19" s="39" t="str">
        <f t="shared" ca="1" si="1"/>
        <v/>
      </c>
      <c r="H19" s="39"/>
      <c r="I19" s="39"/>
      <c r="J19" s="39"/>
    </row>
    <row r="20" spans="1:10">
      <c r="A20" s="39"/>
      <c r="B20" s="39"/>
      <c r="C20" s="39"/>
      <c r="D20" s="39"/>
      <c r="E20" s="39"/>
      <c r="F20" s="39"/>
      <c r="G20" s="39" t="str">
        <f t="shared" ca="1" si="1"/>
        <v/>
      </c>
      <c r="H20" s="39"/>
      <c r="I20" s="39"/>
      <c r="J20" s="39"/>
    </row>
    <row r="21" spans="1:10">
      <c r="A21" s="39"/>
      <c r="B21" s="39"/>
      <c r="C21" s="39"/>
      <c r="D21" s="39"/>
      <c r="E21" s="39"/>
      <c r="F21" s="39"/>
      <c r="G21" s="39" t="str">
        <f t="shared" ca="1" si="1"/>
        <v/>
      </c>
      <c r="H21" s="39"/>
      <c r="I21" s="39"/>
      <c r="J21" s="39"/>
    </row>
    <row r="22" spans="1:10">
      <c r="A22" s="39"/>
      <c r="B22" s="39"/>
      <c r="C22" s="39"/>
      <c r="D22" s="39"/>
      <c r="E22" s="39"/>
      <c r="F22" s="39"/>
      <c r="G22" s="39" t="str">
        <f t="shared" ca="1" si="1"/>
        <v/>
      </c>
      <c r="H22" s="39"/>
      <c r="I22" s="39"/>
      <c r="J22" s="39"/>
    </row>
    <row r="23" spans="1:10">
      <c r="A23" s="39"/>
      <c r="B23" s="39"/>
      <c r="C23" s="39"/>
      <c r="D23" s="39"/>
      <c r="E23" s="39"/>
      <c r="F23" s="39"/>
      <c r="G23" s="39" t="str">
        <f t="shared" ca="1" si="1"/>
        <v/>
      </c>
      <c r="H23" s="39"/>
      <c r="I23" s="39"/>
      <c r="J23" s="39"/>
    </row>
    <row r="24" spans="1:10">
      <c r="A24" s="39"/>
      <c r="B24" s="39"/>
      <c r="C24" s="39"/>
      <c r="D24" s="39"/>
      <c r="E24" s="39"/>
      <c r="F24" s="39"/>
      <c r="G24" s="39" t="str">
        <f t="shared" ca="1" si="1"/>
        <v/>
      </c>
      <c r="H24" s="39"/>
      <c r="I24" s="39"/>
      <c r="J24" s="39"/>
    </row>
    <row r="25" spans="1:10">
      <c r="A25" s="39"/>
      <c r="B25" s="39"/>
      <c r="C25" s="39"/>
      <c r="D25" s="39"/>
      <c r="E25" s="39"/>
      <c r="F25" s="39"/>
      <c r="G25" s="39" t="str">
        <f t="shared" ca="1" si="1"/>
        <v/>
      </c>
      <c r="H25" s="39"/>
      <c r="I25" s="39"/>
      <c r="J25" s="39"/>
    </row>
    <row r="26" spans="1:10">
      <c r="A26" s="39"/>
      <c r="B26" s="39"/>
      <c r="C26" s="39"/>
      <c r="D26" s="39"/>
      <c r="E26" s="39"/>
      <c r="F26" s="39"/>
      <c r="G26" s="39" t="str">
        <f t="shared" ca="1" si="1"/>
        <v/>
      </c>
      <c r="H26" s="39"/>
      <c r="I26" s="39"/>
      <c r="J26" s="39"/>
    </row>
    <row r="27" spans="1:10">
      <c r="A27" s="39"/>
      <c r="B27" s="39"/>
      <c r="C27" s="39"/>
      <c r="D27" s="39"/>
      <c r="E27" s="39"/>
      <c r="F27" s="39"/>
      <c r="G27" s="39" t="str">
        <f t="shared" ca="1" si="1"/>
        <v/>
      </c>
      <c r="H27" s="39"/>
      <c r="I27" s="39"/>
      <c r="J27" s="39"/>
    </row>
    <row r="28" spans="1:10">
      <c r="A28" s="39"/>
      <c r="B28" s="39"/>
      <c r="C28" s="39"/>
      <c r="D28" s="39"/>
      <c r="E28" s="39"/>
      <c r="F28" s="39"/>
      <c r="G28" s="39" t="str">
        <f t="shared" ca="1" si="1"/>
        <v/>
      </c>
      <c r="H28" s="39"/>
      <c r="I28" s="39"/>
      <c r="J28" s="39"/>
    </row>
    <row r="29" spans="1:10">
      <c r="A29" s="39"/>
      <c r="B29" s="39"/>
      <c r="C29" s="39"/>
      <c r="D29" s="39"/>
      <c r="E29" s="39"/>
      <c r="F29" s="39"/>
      <c r="G29" s="39" t="str">
        <f t="shared" ca="1" si="1"/>
        <v/>
      </c>
      <c r="H29" s="39"/>
      <c r="I29" s="39"/>
      <c r="J29" s="39"/>
    </row>
    <row r="30" spans="1:10">
      <c r="A30" s="39"/>
      <c r="B30" s="39"/>
      <c r="C30" s="39"/>
      <c r="D30" s="39"/>
      <c r="E30" s="39"/>
      <c r="F30" s="39"/>
      <c r="G30" s="39" t="str">
        <f t="shared" ca="1" si="1"/>
        <v/>
      </c>
      <c r="H30" s="39"/>
      <c r="I30" s="39"/>
      <c r="J30" s="39"/>
    </row>
    <row r="31" spans="1:10">
      <c r="A31" s="39"/>
      <c r="B31" s="39"/>
      <c r="C31" s="39"/>
      <c r="D31" s="39"/>
      <c r="E31" s="39"/>
      <c r="F31" s="39"/>
      <c r="G31" s="39" t="str">
        <f t="shared" ca="1" si="1"/>
        <v/>
      </c>
      <c r="H31" s="39"/>
      <c r="I31" s="39"/>
      <c r="J31" s="39"/>
    </row>
    <row r="32" spans="1:10">
      <c r="A32" s="39"/>
      <c r="B32" s="39"/>
      <c r="C32" s="39"/>
      <c r="D32" s="39"/>
      <c r="E32" s="39"/>
      <c r="F32" s="39"/>
      <c r="G32" s="39" t="str">
        <f t="shared" ca="1" si="1"/>
        <v/>
      </c>
      <c r="H32" s="39"/>
      <c r="I32" s="39"/>
      <c r="J32" s="39"/>
    </row>
    <row r="33" spans="1:10">
      <c r="A33" s="39"/>
      <c r="B33" s="39"/>
      <c r="C33" s="39"/>
      <c r="D33" s="39"/>
      <c r="E33" s="39"/>
      <c r="F33" s="39"/>
      <c r="G33" s="39" t="str">
        <f t="shared" ca="1" si="1"/>
        <v/>
      </c>
      <c r="H33" s="39"/>
      <c r="I33" s="39"/>
      <c r="J33" s="39"/>
    </row>
    <row r="34" spans="1:10">
      <c r="A34" s="39"/>
      <c r="B34" s="39"/>
      <c r="C34" s="39"/>
      <c r="D34" s="39"/>
      <c r="E34" s="39"/>
      <c r="F34" s="39"/>
      <c r="G34" s="39" t="str">
        <f t="shared" ca="1" si="1"/>
        <v/>
      </c>
      <c r="H34" s="39"/>
      <c r="I34" s="39"/>
      <c r="J34" s="39"/>
    </row>
    <row r="35" spans="1:10">
      <c r="A35" s="39"/>
      <c r="B35" s="39"/>
      <c r="C35" s="39"/>
      <c r="D35" s="39"/>
      <c r="E35" s="39"/>
      <c r="F35" s="39"/>
      <c r="G35" s="39" t="str">
        <f t="shared" ca="1" si="1"/>
        <v/>
      </c>
      <c r="H35" s="39"/>
      <c r="I35" s="39"/>
      <c r="J35" s="39"/>
    </row>
    <row r="36" spans="1:10">
      <c r="A36" s="39"/>
      <c r="B36" s="39"/>
      <c r="C36" s="39"/>
      <c r="D36" s="39"/>
      <c r="E36" s="39"/>
      <c r="F36" s="39"/>
      <c r="G36" s="39" t="str">
        <f t="shared" ca="1" si="1"/>
        <v/>
      </c>
      <c r="H36" s="39"/>
      <c r="I36" s="39"/>
      <c r="J36" s="39"/>
    </row>
    <row r="37" spans="1:10">
      <c r="A37" s="39"/>
      <c r="B37" s="39"/>
      <c r="C37" s="39"/>
      <c r="D37" s="39"/>
      <c r="E37" s="39"/>
      <c r="F37" s="39"/>
      <c r="G37" s="39" t="str">
        <f t="shared" ca="1" si="1"/>
        <v/>
      </c>
      <c r="H37" s="39"/>
      <c r="I37" s="39"/>
      <c r="J37" s="39"/>
    </row>
    <row r="38" spans="1:10">
      <c r="A38" s="39"/>
      <c r="B38" s="39"/>
      <c r="C38" s="39"/>
      <c r="D38" s="39"/>
      <c r="E38" s="39"/>
      <c r="F38" s="39"/>
      <c r="G38" s="39" t="str">
        <f t="shared" ca="1" si="1"/>
        <v/>
      </c>
      <c r="H38" s="39"/>
      <c r="I38" s="39"/>
      <c r="J38" s="39"/>
    </row>
    <row r="39" spans="1:10">
      <c r="A39" s="39"/>
      <c r="B39" s="39"/>
      <c r="C39" s="39"/>
      <c r="D39" s="39"/>
      <c r="E39" s="39"/>
      <c r="F39" s="39"/>
      <c r="G39" s="39" t="str">
        <f t="shared" ca="1" si="1"/>
        <v/>
      </c>
      <c r="H39" s="39"/>
      <c r="I39" s="39"/>
      <c r="J39" s="39"/>
    </row>
    <row r="40" spans="1:10">
      <c r="A40" s="39"/>
      <c r="B40" s="39"/>
      <c r="C40" s="39"/>
      <c r="D40" s="39"/>
      <c r="E40" s="39"/>
      <c r="F40" s="39"/>
      <c r="G40" s="39" t="str">
        <f t="shared" ca="1" si="1"/>
        <v/>
      </c>
      <c r="H40" s="39"/>
      <c r="I40" s="39"/>
      <c r="J40" s="39"/>
    </row>
    <row r="41" spans="1:10">
      <c r="A41" s="39"/>
      <c r="B41" s="39"/>
      <c r="C41" s="39"/>
      <c r="D41" s="39"/>
      <c r="E41" s="39"/>
      <c r="F41" s="39"/>
      <c r="G41" s="39" t="str">
        <f t="shared" ca="1" si="1"/>
        <v/>
      </c>
      <c r="H41" s="39"/>
      <c r="I41" s="39"/>
      <c r="J41" s="39"/>
    </row>
    <row r="42" spans="1:10">
      <c r="A42" s="39"/>
      <c r="B42" s="39"/>
      <c r="C42" s="39"/>
      <c r="D42" s="39"/>
      <c r="E42" s="39"/>
      <c r="F42" s="39"/>
      <c r="G42" s="39" t="str">
        <f t="shared" ca="1" si="1"/>
        <v/>
      </c>
      <c r="H42" s="39"/>
      <c r="I42" s="39"/>
      <c r="J42" s="39"/>
    </row>
    <row r="43" spans="1:10">
      <c r="A43" s="39"/>
      <c r="B43" s="39"/>
      <c r="C43" s="39"/>
      <c r="D43" s="39"/>
      <c r="E43" s="39"/>
      <c r="F43" s="39"/>
      <c r="G43" s="39" t="str">
        <f t="shared" ca="1" si="1"/>
        <v/>
      </c>
      <c r="H43" s="39"/>
      <c r="I43" s="39"/>
      <c r="J43" s="39"/>
    </row>
    <row r="44" spans="1:10">
      <c r="A44" s="39"/>
      <c r="B44" s="39"/>
      <c r="C44" s="39"/>
      <c r="D44" s="39"/>
      <c r="E44" s="39"/>
      <c r="F44" s="39"/>
      <c r="G44" s="39" t="str">
        <f t="shared" ca="1" si="1"/>
        <v/>
      </c>
      <c r="H44" s="39"/>
      <c r="I44" s="39"/>
      <c r="J44" s="39"/>
    </row>
    <row r="45" spans="1:10">
      <c r="A45" s="39"/>
      <c r="B45" s="39"/>
      <c r="C45" s="39"/>
      <c r="D45" s="39"/>
      <c r="E45" s="39"/>
      <c r="F45" s="39"/>
      <c r="G45" s="39" t="str">
        <f t="shared" ca="1" si="1"/>
        <v/>
      </c>
      <c r="H45" s="39"/>
      <c r="I45" s="39"/>
      <c r="J45" s="39"/>
    </row>
    <row r="46" spans="1:10">
      <c r="A46" s="39"/>
      <c r="B46" s="39"/>
      <c r="C46" s="39"/>
      <c r="D46" s="39"/>
      <c r="E46" s="39"/>
      <c r="F46" s="39"/>
      <c r="G46" s="39" t="str">
        <f t="shared" ca="1" si="1"/>
        <v/>
      </c>
      <c r="H46" s="39"/>
      <c r="I46" s="39"/>
      <c r="J46" s="39"/>
    </row>
    <row r="47" spans="1:10">
      <c r="A47" s="39"/>
      <c r="B47" s="39"/>
      <c r="C47" s="39"/>
      <c r="D47" s="39"/>
      <c r="E47" s="39"/>
      <c r="F47" s="39"/>
      <c r="G47" s="39" t="str">
        <f t="shared" ca="1" si="1"/>
        <v/>
      </c>
      <c r="H47" s="39"/>
      <c r="I47" s="39"/>
      <c r="J47" s="39"/>
    </row>
    <row r="48" spans="1:10">
      <c r="A48" s="39"/>
      <c r="B48" s="39"/>
      <c r="C48" s="39"/>
      <c r="D48" s="39"/>
      <c r="E48" s="39"/>
      <c r="F48" s="39"/>
      <c r="G48" s="39" t="str">
        <f t="shared" ca="1" si="1"/>
        <v/>
      </c>
      <c r="H48" s="39"/>
      <c r="I48" s="39"/>
      <c r="J48" s="39"/>
    </row>
    <row r="49" spans="1:10">
      <c r="A49" s="39"/>
      <c r="B49" s="39"/>
      <c r="C49" s="39"/>
      <c r="D49" s="39"/>
      <c r="E49" s="39"/>
      <c r="F49" s="39"/>
      <c r="G49" s="39" t="str">
        <f t="shared" ca="1" si="1"/>
        <v/>
      </c>
      <c r="H49" s="39"/>
      <c r="I49" s="39"/>
      <c r="J49" s="39"/>
    </row>
    <row r="50" spans="1:10">
      <c r="A50" s="39"/>
      <c r="B50" s="39"/>
      <c r="C50" s="39"/>
      <c r="D50" s="39"/>
      <c r="E50" s="39"/>
      <c r="F50" s="39"/>
      <c r="G50" s="39" t="str">
        <f t="shared" ca="1" si="1"/>
        <v/>
      </c>
      <c r="H50" s="39"/>
      <c r="I50" s="39"/>
      <c r="J50" s="39"/>
    </row>
    <row r="51" spans="1:10">
      <c r="A51" s="39"/>
      <c r="B51" s="39"/>
      <c r="C51" s="39"/>
      <c r="D51" s="39"/>
      <c r="E51" s="39"/>
      <c r="F51" s="39"/>
      <c r="G51" s="39" t="str">
        <f t="shared" ca="1" si="1"/>
        <v/>
      </c>
      <c r="H51" s="39"/>
      <c r="I51" s="39"/>
      <c r="J51" s="39"/>
    </row>
    <row r="52" spans="1:10">
      <c r="A52" s="39"/>
      <c r="B52" s="39"/>
      <c r="C52" s="39"/>
      <c r="D52" s="39"/>
      <c r="E52" s="39"/>
      <c r="F52" s="39"/>
      <c r="G52" s="39" t="str">
        <f t="shared" ca="1" si="1"/>
        <v/>
      </c>
      <c r="H52" s="39"/>
      <c r="I52" s="39"/>
      <c r="J52" s="39"/>
    </row>
    <row r="53" spans="1:10">
      <c r="A53" s="39"/>
      <c r="B53" s="39"/>
      <c r="C53" s="39"/>
      <c r="D53" s="39"/>
      <c r="E53" s="39"/>
      <c r="F53" s="39"/>
      <c r="G53" s="39" t="str">
        <f t="shared" ca="1" si="1"/>
        <v/>
      </c>
      <c r="H53" s="39"/>
      <c r="I53" s="39"/>
      <c r="J53" s="39"/>
    </row>
    <row r="54" spans="1:10">
      <c r="A54" s="39"/>
      <c r="B54" s="39"/>
      <c r="C54" s="39"/>
      <c r="D54" s="39"/>
      <c r="E54" s="39"/>
      <c r="F54" s="39"/>
      <c r="G54" s="39" t="str">
        <f t="shared" ca="1" si="1"/>
        <v/>
      </c>
      <c r="H54" s="39"/>
      <c r="I54" s="39"/>
      <c r="J54" s="39"/>
    </row>
  </sheetData>
  <mergeCells count="2">
    <mergeCell ref="A1:J1"/>
    <mergeCell ref="A2:J2"/>
  </mergeCells>
  <conditionalFormatting sqref="G6:G54">
    <cfRule type="cellIs" dxfId="6" priority="1" operator="greaterThan">
      <formula>0</formula>
    </cfRule>
  </conditionalFormatting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tabColor rgb="FFA3001E"/>
  </sheetPr>
  <dimension ref="A1:G50"/>
  <sheetViews>
    <sheetView workbookViewId="0">
      <pane ySplit="5" topLeftCell="A6" activePane="bottomLeft" state="frozen"/>
      <selection pane="bottomLeft"/>
    </sheetView>
  </sheetViews>
  <sheetFormatPr defaultRowHeight="14.4"/>
  <cols>
    <col min="1" max="1" width="22" customWidth="1"/>
    <col min="2" max="2" width="28" customWidth="1"/>
    <col min="3" max="4" width="12" customWidth="1"/>
    <col min="5" max="5" width="18" customWidth="1"/>
    <col min="6" max="6" width="12" customWidth="1"/>
    <col min="7" max="7" width="14" customWidth="1"/>
  </cols>
  <sheetData>
    <row r="1" spans="1:7" ht="36" customHeight="1">
      <c r="A1" s="122" t="s">
        <v>234</v>
      </c>
      <c r="B1" s="123"/>
      <c r="C1" s="123"/>
      <c r="D1" s="123"/>
      <c r="E1" s="123"/>
      <c r="F1" s="123"/>
      <c r="G1" s="123"/>
    </row>
    <row r="2" spans="1:7" ht="18" customHeight="1">
      <c r="A2" s="124" t="s">
        <v>235</v>
      </c>
      <c r="B2" s="125"/>
      <c r="C2" s="125"/>
      <c r="D2" s="125"/>
      <c r="E2" s="125"/>
      <c r="F2" s="125"/>
      <c r="G2" s="125"/>
    </row>
    <row r="4" spans="1:7">
      <c r="A4" t="s">
        <v>236</v>
      </c>
      <c r="B4" s="41">
        <f>SUMIFS(C6:C50,F6:F50,"&lt;&gt;Pago")</f>
        <v>7780</v>
      </c>
    </row>
    <row r="5" spans="1:7">
      <c r="A5" s="35" t="s">
        <v>237</v>
      </c>
      <c r="B5" s="35" t="s">
        <v>238</v>
      </c>
      <c r="C5" s="35" t="s">
        <v>180</v>
      </c>
      <c r="D5" s="35" t="s">
        <v>181</v>
      </c>
      <c r="E5" s="35" t="s">
        <v>239</v>
      </c>
      <c r="F5" s="35" t="s">
        <v>199</v>
      </c>
      <c r="G5" s="35" t="s">
        <v>240</v>
      </c>
    </row>
    <row r="6" spans="1:7">
      <c r="A6" s="39" t="s">
        <v>241</v>
      </c>
      <c r="B6" s="39" t="s">
        <v>242</v>
      </c>
      <c r="C6" s="48">
        <v>4500</v>
      </c>
      <c r="D6" s="49">
        <v>46239</v>
      </c>
      <c r="E6" s="39" t="s">
        <v>243</v>
      </c>
      <c r="F6" s="39" t="s">
        <v>244</v>
      </c>
      <c r="G6" s="39">
        <f ca="1">D6-TODAY()</f>
        <v>14</v>
      </c>
    </row>
    <row r="7" spans="1:7">
      <c r="A7" s="39" t="s">
        <v>245</v>
      </c>
      <c r="B7" s="39" t="s">
        <v>246</v>
      </c>
      <c r="C7" s="48">
        <v>980</v>
      </c>
      <c r="D7" s="49">
        <v>46228</v>
      </c>
      <c r="E7" s="39" t="s">
        <v>247</v>
      </c>
      <c r="F7" s="39" t="s">
        <v>187</v>
      </c>
      <c r="G7" s="39">
        <f ca="1">D7-TODAY()</f>
        <v>3</v>
      </c>
    </row>
    <row r="8" spans="1:7">
      <c r="A8" s="39" t="s">
        <v>248</v>
      </c>
      <c r="B8" s="39" t="s">
        <v>249</v>
      </c>
      <c r="C8" s="48">
        <v>450</v>
      </c>
      <c r="D8" s="49">
        <v>46233</v>
      </c>
      <c r="E8" s="39" t="s">
        <v>250</v>
      </c>
      <c r="F8" s="39" t="s">
        <v>244</v>
      </c>
      <c r="G8" s="39">
        <f ca="1">D8-TODAY()</f>
        <v>8</v>
      </c>
    </row>
    <row r="9" spans="1:7">
      <c r="A9" s="39" t="s">
        <v>251</v>
      </c>
      <c r="B9" s="39" t="s">
        <v>252</v>
      </c>
      <c r="C9" s="48">
        <v>1200</v>
      </c>
      <c r="D9" s="49">
        <v>46244</v>
      </c>
      <c r="E9" s="39" t="s">
        <v>253</v>
      </c>
      <c r="F9" s="39" t="s">
        <v>244</v>
      </c>
      <c r="G9" s="39">
        <f ca="1">D9-TODAY()</f>
        <v>19</v>
      </c>
    </row>
    <row r="10" spans="1:7">
      <c r="A10" s="39" t="s">
        <v>254</v>
      </c>
      <c r="B10" s="39" t="s">
        <v>255</v>
      </c>
      <c r="C10" s="48">
        <v>650</v>
      </c>
      <c r="D10" s="49">
        <v>46225</v>
      </c>
      <c r="E10" s="39" t="s">
        <v>256</v>
      </c>
      <c r="F10" s="39" t="s">
        <v>187</v>
      </c>
      <c r="G10" s="39">
        <f ca="1">D10-TODAY()</f>
        <v>0</v>
      </c>
    </row>
    <row r="11" spans="1:7">
      <c r="A11" s="39"/>
      <c r="B11" s="39"/>
      <c r="C11" s="39"/>
      <c r="D11" s="39"/>
      <c r="E11" s="39"/>
      <c r="F11" s="39"/>
      <c r="G11" s="39" t="str">
        <f t="shared" ref="G11:G50" ca="1" si="0">IF(D11="","",D11-TODAY())</f>
        <v/>
      </c>
    </row>
    <row r="12" spans="1:7">
      <c r="A12" s="39"/>
      <c r="B12" s="39"/>
      <c r="C12" s="39"/>
      <c r="D12" s="39"/>
      <c r="E12" s="39"/>
      <c r="F12" s="39"/>
      <c r="G12" s="39" t="str">
        <f t="shared" ca="1" si="0"/>
        <v/>
      </c>
    </row>
    <row r="13" spans="1:7">
      <c r="A13" s="39"/>
      <c r="B13" s="39"/>
      <c r="C13" s="39"/>
      <c r="D13" s="39"/>
      <c r="E13" s="39"/>
      <c r="F13" s="39"/>
      <c r="G13" s="39" t="str">
        <f t="shared" ca="1" si="0"/>
        <v/>
      </c>
    </row>
    <row r="14" spans="1:7">
      <c r="A14" s="39"/>
      <c r="B14" s="39"/>
      <c r="C14" s="39"/>
      <c r="D14" s="39"/>
      <c r="E14" s="39"/>
      <c r="F14" s="39"/>
      <c r="G14" s="39" t="str">
        <f t="shared" ca="1" si="0"/>
        <v/>
      </c>
    </row>
    <row r="15" spans="1:7">
      <c r="A15" s="39"/>
      <c r="B15" s="39"/>
      <c r="C15" s="39"/>
      <c r="D15" s="39"/>
      <c r="E15" s="39"/>
      <c r="F15" s="39"/>
      <c r="G15" s="39" t="str">
        <f t="shared" ca="1" si="0"/>
        <v/>
      </c>
    </row>
    <row r="16" spans="1:7">
      <c r="A16" s="39"/>
      <c r="B16" s="39"/>
      <c r="C16" s="39"/>
      <c r="D16" s="39"/>
      <c r="E16" s="39"/>
      <c r="F16" s="39"/>
      <c r="G16" s="39" t="str">
        <f t="shared" ca="1" si="0"/>
        <v/>
      </c>
    </row>
    <row r="17" spans="1:7">
      <c r="A17" s="39"/>
      <c r="B17" s="39"/>
      <c r="C17" s="39"/>
      <c r="D17" s="39"/>
      <c r="E17" s="39"/>
      <c r="F17" s="39"/>
      <c r="G17" s="39" t="str">
        <f t="shared" ca="1" si="0"/>
        <v/>
      </c>
    </row>
    <row r="18" spans="1:7">
      <c r="A18" s="39"/>
      <c r="B18" s="39"/>
      <c r="C18" s="39"/>
      <c r="D18" s="39"/>
      <c r="E18" s="39"/>
      <c r="F18" s="39"/>
      <c r="G18" s="39" t="str">
        <f t="shared" ca="1" si="0"/>
        <v/>
      </c>
    </row>
    <row r="19" spans="1:7">
      <c r="A19" s="39"/>
      <c r="B19" s="39"/>
      <c r="C19" s="39"/>
      <c r="D19" s="39"/>
      <c r="E19" s="39"/>
      <c r="F19" s="39"/>
      <c r="G19" s="39" t="str">
        <f t="shared" ca="1" si="0"/>
        <v/>
      </c>
    </row>
    <row r="20" spans="1:7">
      <c r="A20" s="39"/>
      <c r="B20" s="39"/>
      <c r="C20" s="39"/>
      <c r="D20" s="39"/>
      <c r="E20" s="39"/>
      <c r="F20" s="39"/>
      <c r="G20" s="39" t="str">
        <f t="shared" ca="1" si="0"/>
        <v/>
      </c>
    </row>
    <row r="21" spans="1:7">
      <c r="A21" s="39"/>
      <c r="B21" s="39"/>
      <c r="C21" s="39"/>
      <c r="D21" s="39"/>
      <c r="E21" s="39"/>
      <c r="F21" s="39"/>
      <c r="G21" s="39" t="str">
        <f t="shared" ca="1" si="0"/>
        <v/>
      </c>
    </row>
    <row r="22" spans="1:7">
      <c r="A22" s="39"/>
      <c r="B22" s="39"/>
      <c r="C22" s="39"/>
      <c r="D22" s="39"/>
      <c r="E22" s="39"/>
      <c r="F22" s="39"/>
      <c r="G22" s="39" t="str">
        <f t="shared" ca="1" si="0"/>
        <v/>
      </c>
    </row>
    <row r="23" spans="1:7">
      <c r="A23" s="39"/>
      <c r="B23" s="39"/>
      <c r="C23" s="39"/>
      <c r="D23" s="39"/>
      <c r="E23" s="39"/>
      <c r="F23" s="39"/>
      <c r="G23" s="39" t="str">
        <f t="shared" ca="1" si="0"/>
        <v/>
      </c>
    </row>
    <row r="24" spans="1:7">
      <c r="A24" s="39"/>
      <c r="B24" s="39"/>
      <c r="C24" s="39"/>
      <c r="D24" s="39"/>
      <c r="E24" s="39"/>
      <c r="F24" s="39"/>
      <c r="G24" s="39" t="str">
        <f t="shared" ca="1" si="0"/>
        <v/>
      </c>
    </row>
    <row r="25" spans="1:7">
      <c r="A25" s="39"/>
      <c r="B25" s="39"/>
      <c r="C25" s="39"/>
      <c r="D25" s="39"/>
      <c r="E25" s="39"/>
      <c r="F25" s="39"/>
      <c r="G25" s="39" t="str">
        <f t="shared" ca="1" si="0"/>
        <v/>
      </c>
    </row>
    <row r="26" spans="1:7">
      <c r="A26" s="39"/>
      <c r="B26" s="39"/>
      <c r="C26" s="39"/>
      <c r="D26" s="39"/>
      <c r="E26" s="39"/>
      <c r="F26" s="39"/>
      <c r="G26" s="39" t="str">
        <f t="shared" ca="1" si="0"/>
        <v/>
      </c>
    </row>
    <row r="27" spans="1:7">
      <c r="A27" s="39"/>
      <c r="B27" s="39"/>
      <c r="C27" s="39"/>
      <c r="D27" s="39"/>
      <c r="E27" s="39"/>
      <c r="F27" s="39"/>
      <c r="G27" s="39" t="str">
        <f t="shared" ca="1" si="0"/>
        <v/>
      </c>
    </row>
    <row r="28" spans="1:7">
      <c r="A28" s="39"/>
      <c r="B28" s="39"/>
      <c r="C28" s="39"/>
      <c r="D28" s="39"/>
      <c r="E28" s="39"/>
      <c r="F28" s="39"/>
      <c r="G28" s="39" t="str">
        <f t="shared" ca="1" si="0"/>
        <v/>
      </c>
    </row>
    <row r="29" spans="1:7">
      <c r="A29" s="39"/>
      <c r="B29" s="39"/>
      <c r="C29" s="39"/>
      <c r="D29" s="39"/>
      <c r="E29" s="39"/>
      <c r="F29" s="39"/>
      <c r="G29" s="39" t="str">
        <f t="shared" ca="1" si="0"/>
        <v/>
      </c>
    </row>
    <row r="30" spans="1:7">
      <c r="A30" s="39"/>
      <c r="B30" s="39"/>
      <c r="C30" s="39"/>
      <c r="D30" s="39"/>
      <c r="E30" s="39"/>
      <c r="F30" s="39"/>
      <c r="G30" s="39" t="str">
        <f t="shared" ca="1" si="0"/>
        <v/>
      </c>
    </row>
    <row r="31" spans="1:7">
      <c r="A31" s="39"/>
      <c r="B31" s="39"/>
      <c r="C31" s="39"/>
      <c r="D31" s="39"/>
      <c r="E31" s="39"/>
      <c r="F31" s="39"/>
      <c r="G31" s="39" t="str">
        <f t="shared" ca="1" si="0"/>
        <v/>
      </c>
    </row>
    <row r="32" spans="1:7">
      <c r="A32" s="39"/>
      <c r="B32" s="39"/>
      <c r="C32" s="39"/>
      <c r="D32" s="39"/>
      <c r="E32" s="39"/>
      <c r="F32" s="39"/>
      <c r="G32" s="39" t="str">
        <f t="shared" ca="1" si="0"/>
        <v/>
      </c>
    </row>
    <row r="33" spans="1:7">
      <c r="A33" s="39"/>
      <c r="B33" s="39"/>
      <c r="C33" s="39"/>
      <c r="D33" s="39"/>
      <c r="E33" s="39"/>
      <c r="F33" s="39"/>
      <c r="G33" s="39" t="str">
        <f t="shared" ca="1" si="0"/>
        <v/>
      </c>
    </row>
    <row r="34" spans="1:7">
      <c r="A34" s="39"/>
      <c r="B34" s="39"/>
      <c r="C34" s="39"/>
      <c r="D34" s="39"/>
      <c r="E34" s="39"/>
      <c r="F34" s="39"/>
      <c r="G34" s="39" t="str">
        <f t="shared" ca="1" si="0"/>
        <v/>
      </c>
    </row>
    <row r="35" spans="1:7">
      <c r="A35" s="39"/>
      <c r="B35" s="39"/>
      <c r="C35" s="39"/>
      <c r="D35" s="39"/>
      <c r="E35" s="39"/>
      <c r="F35" s="39"/>
      <c r="G35" s="39" t="str">
        <f t="shared" ca="1" si="0"/>
        <v/>
      </c>
    </row>
    <row r="36" spans="1:7">
      <c r="A36" s="39"/>
      <c r="B36" s="39"/>
      <c r="C36" s="39"/>
      <c r="D36" s="39"/>
      <c r="E36" s="39"/>
      <c r="F36" s="39"/>
      <c r="G36" s="39" t="str">
        <f t="shared" ca="1" si="0"/>
        <v/>
      </c>
    </row>
    <row r="37" spans="1:7">
      <c r="A37" s="39"/>
      <c r="B37" s="39"/>
      <c r="C37" s="39"/>
      <c r="D37" s="39"/>
      <c r="E37" s="39"/>
      <c r="F37" s="39"/>
      <c r="G37" s="39" t="str">
        <f t="shared" ca="1" si="0"/>
        <v/>
      </c>
    </row>
    <row r="38" spans="1:7">
      <c r="A38" s="39"/>
      <c r="B38" s="39"/>
      <c r="C38" s="39"/>
      <c r="D38" s="39"/>
      <c r="E38" s="39"/>
      <c r="F38" s="39"/>
      <c r="G38" s="39" t="str">
        <f t="shared" ca="1" si="0"/>
        <v/>
      </c>
    </row>
    <row r="39" spans="1:7">
      <c r="A39" s="39"/>
      <c r="B39" s="39"/>
      <c r="C39" s="39"/>
      <c r="D39" s="39"/>
      <c r="E39" s="39"/>
      <c r="F39" s="39"/>
      <c r="G39" s="39" t="str">
        <f t="shared" ca="1" si="0"/>
        <v/>
      </c>
    </row>
    <row r="40" spans="1:7">
      <c r="A40" s="39"/>
      <c r="B40" s="39"/>
      <c r="C40" s="39"/>
      <c r="D40" s="39"/>
      <c r="E40" s="39"/>
      <c r="F40" s="39"/>
      <c r="G40" s="39" t="str">
        <f t="shared" ca="1" si="0"/>
        <v/>
      </c>
    </row>
    <row r="41" spans="1:7">
      <c r="A41" s="39"/>
      <c r="B41" s="39"/>
      <c r="C41" s="39"/>
      <c r="D41" s="39"/>
      <c r="E41" s="39"/>
      <c r="F41" s="39"/>
      <c r="G41" s="39" t="str">
        <f t="shared" ca="1" si="0"/>
        <v/>
      </c>
    </row>
    <row r="42" spans="1:7">
      <c r="A42" s="39"/>
      <c r="B42" s="39"/>
      <c r="C42" s="39"/>
      <c r="D42" s="39"/>
      <c r="E42" s="39"/>
      <c r="F42" s="39"/>
      <c r="G42" s="39" t="str">
        <f t="shared" ca="1" si="0"/>
        <v/>
      </c>
    </row>
    <row r="43" spans="1:7">
      <c r="A43" s="39"/>
      <c r="B43" s="39"/>
      <c r="C43" s="39"/>
      <c r="D43" s="39"/>
      <c r="E43" s="39"/>
      <c r="F43" s="39"/>
      <c r="G43" s="39" t="str">
        <f t="shared" ca="1" si="0"/>
        <v/>
      </c>
    </row>
    <row r="44" spans="1:7">
      <c r="A44" s="39"/>
      <c r="B44" s="39"/>
      <c r="C44" s="39"/>
      <c r="D44" s="39"/>
      <c r="E44" s="39"/>
      <c r="F44" s="39"/>
      <c r="G44" s="39" t="str">
        <f t="shared" ca="1" si="0"/>
        <v/>
      </c>
    </row>
    <row r="45" spans="1:7">
      <c r="A45" s="39"/>
      <c r="B45" s="39"/>
      <c r="C45" s="39"/>
      <c r="D45" s="39"/>
      <c r="E45" s="39"/>
      <c r="F45" s="39"/>
      <c r="G45" s="39" t="str">
        <f t="shared" ca="1" si="0"/>
        <v/>
      </c>
    </row>
    <row r="46" spans="1:7">
      <c r="A46" s="39"/>
      <c r="B46" s="39"/>
      <c r="C46" s="39"/>
      <c r="D46" s="39"/>
      <c r="E46" s="39"/>
      <c r="F46" s="39"/>
      <c r="G46" s="39" t="str">
        <f t="shared" ca="1" si="0"/>
        <v/>
      </c>
    </row>
    <row r="47" spans="1:7">
      <c r="A47" s="39"/>
      <c r="B47" s="39"/>
      <c r="C47" s="39"/>
      <c r="D47" s="39"/>
      <c r="E47" s="39"/>
      <c r="F47" s="39"/>
      <c r="G47" s="39" t="str">
        <f t="shared" ca="1" si="0"/>
        <v/>
      </c>
    </row>
    <row r="48" spans="1:7">
      <c r="A48" s="39"/>
      <c r="B48" s="39"/>
      <c r="C48" s="39"/>
      <c r="D48" s="39"/>
      <c r="E48" s="39"/>
      <c r="F48" s="39"/>
      <c r="G48" s="39" t="str">
        <f t="shared" ca="1" si="0"/>
        <v/>
      </c>
    </row>
    <row r="49" spans="1:7">
      <c r="A49" s="39"/>
      <c r="B49" s="39"/>
      <c r="C49" s="39"/>
      <c r="D49" s="39"/>
      <c r="E49" s="39"/>
      <c r="F49" s="39"/>
      <c r="G49" s="39" t="str">
        <f t="shared" ca="1" si="0"/>
        <v/>
      </c>
    </row>
    <row r="50" spans="1:7">
      <c r="A50" s="39"/>
      <c r="B50" s="39"/>
      <c r="C50" s="39"/>
      <c r="D50" s="39"/>
      <c r="E50" s="39"/>
      <c r="F50" s="39"/>
      <c r="G50" s="39" t="str">
        <f t="shared" ca="1" si="0"/>
        <v/>
      </c>
    </row>
  </sheetData>
  <mergeCells count="2">
    <mergeCell ref="A2:G2"/>
    <mergeCell ref="A1:G1"/>
  </mergeCells>
  <conditionalFormatting sqref="F6:F50">
    <cfRule type="expression" dxfId="5" priority="1">
      <formula>F6="Atrasado"</formula>
    </cfRule>
    <cfRule type="expression" dxfId="4" priority="2">
      <formula>F6="Pago"</formula>
    </cfRule>
  </conditionalFormatting>
  <dataValidations count="2">
    <dataValidation type="list" allowBlank="1" showErrorMessage="1" errorTitle="Valor inválido" error="Selecione um valor da lista." sqref="E6:E50" xr:uid="{00000000-0002-0000-0900-000000000000}">
      <formula1>"Aluguel,Energia,Água,Internet,Funcionários,Salários,Marketing,Equipamentos,Limpeza,Contador,Impostos,Produtos (Repos),Manutenção,Outros"</formula1>
    </dataValidation>
    <dataValidation type="list" allowBlank="1" showErrorMessage="1" errorTitle="Valor inválido" error="Selecione um valor da lista." sqref="F6:F50" xr:uid="{00000000-0002-0000-0900-000001000000}">
      <formula1>"Pendente,Pago,Atrasado,Agendado"</formula1>
    </dataValidation>
  </dataValidations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rgb="FFA3001E"/>
  </sheetPr>
  <dimension ref="A1:H50"/>
  <sheetViews>
    <sheetView workbookViewId="0">
      <pane ySplit="5" topLeftCell="A6" activePane="bottomLeft" state="frozen"/>
      <selection pane="bottomLeft"/>
    </sheetView>
  </sheetViews>
  <sheetFormatPr defaultRowHeight="14.4"/>
  <cols>
    <col min="1" max="1" width="8" customWidth="1"/>
    <col min="2" max="2" width="22" customWidth="1"/>
    <col min="3" max="3" width="18" customWidth="1"/>
    <col min="4" max="5" width="16" customWidth="1"/>
    <col min="6" max="6" width="12" customWidth="1"/>
    <col min="7" max="8" width="10" customWidth="1"/>
  </cols>
  <sheetData>
    <row r="1" spans="1:8" ht="36" customHeight="1">
      <c r="A1" s="122" t="s">
        <v>257</v>
      </c>
      <c r="B1" s="123"/>
      <c r="C1" s="123"/>
      <c r="D1" s="123"/>
      <c r="E1" s="123"/>
      <c r="F1" s="123"/>
      <c r="G1" s="123"/>
      <c r="H1" s="123"/>
    </row>
    <row r="2" spans="1:8" ht="18" customHeight="1">
      <c r="A2" s="124" t="s">
        <v>258</v>
      </c>
      <c r="B2" s="125"/>
      <c r="C2" s="125"/>
      <c r="D2" s="125"/>
      <c r="E2" s="125"/>
      <c r="F2" s="125"/>
      <c r="G2" s="125"/>
      <c r="H2" s="125"/>
    </row>
    <row r="5" spans="1:8">
      <c r="A5" s="35" t="s">
        <v>70</v>
      </c>
      <c r="B5" s="35" t="s">
        <v>98</v>
      </c>
      <c r="C5" s="35" t="s">
        <v>259</v>
      </c>
      <c r="D5" s="35" t="s">
        <v>101</v>
      </c>
      <c r="E5" s="35" t="s">
        <v>260</v>
      </c>
      <c r="F5" s="35" t="s">
        <v>261</v>
      </c>
      <c r="G5" s="35" t="s">
        <v>262</v>
      </c>
      <c r="H5" s="35" t="s">
        <v>106</v>
      </c>
    </row>
    <row r="6" spans="1:8">
      <c r="A6" s="39" t="s">
        <v>263</v>
      </c>
      <c r="B6" s="39" t="s">
        <v>119</v>
      </c>
      <c r="C6" s="39" t="s">
        <v>264</v>
      </c>
      <c r="D6" s="39" t="s">
        <v>265</v>
      </c>
      <c r="E6" s="39" t="s">
        <v>266</v>
      </c>
      <c r="F6" s="48">
        <v>3500</v>
      </c>
      <c r="G6" s="39">
        <f>COUNTIFS(BD_ALUNOS!Q:Q,B6,BD_ALUNOS!U:U,"Ativo")</f>
        <v>0</v>
      </c>
      <c r="H6" s="39" t="s">
        <v>120</v>
      </c>
    </row>
    <row r="7" spans="1:8">
      <c r="A7" s="39" t="s">
        <v>267</v>
      </c>
      <c r="B7" s="39" t="s">
        <v>129</v>
      </c>
      <c r="C7" s="39" t="s">
        <v>268</v>
      </c>
      <c r="D7" s="39" t="s">
        <v>269</v>
      </c>
      <c r="E7" s="39" t="s">
        <v>270</v>
      </c>
      <c r="F7" s="48">
        <v>3200</v>
      </c>
      <c r="G7" s="39">
        <f>COUNTIFS(BD_ALUNOS!Q:Q,B7,BD_ALUNOS!U:U,"Ativo")</f>
        <v>0</v>
      </c>
      <c r="H7" s="39" t="s">
        <v>120</v>
      </c>
    </row>
    <row r="8" spans="1:8">
      <c r="A8" s="39" t="s">
        <v>271</v>
      </c>
      <c r="B8" s="39" t="s">
        <v>137</v>
      </c>
      <c r="C8" s="39" t="s">
        <v>272</v>
      </c>
      <c r="D8" s="39" t="s">
        <v>273</v>
      </c>
      <c r="E8" s="39" t="s">
        <v>274</v>
      </c>
      <c r="F8" s="48">
        <v>4000</v>
      </c>
      <c r="G8" s="39">
        <f>COUNTIFS(BD_ALUNOS!Q:Q,B8,BD_ALUNOS!U:U,"Ativo")</f>
        <v>0</v>
      </c>
      <c r="H8" s="39" t="s">
        <v>120</v>
      </c>
    </row>
    <row r="9" spans="1:8">
      <c r="A9" s="39" t="s">
        <v>275</v>
      </c>
      <c r="B9" s="39" t="s">
        <v>152</v>
      </c>
      <c r="C9" s="39" t="s">
        <v>276</v>
      </c>
      <c r="D9" s="39" t="s">
        <v>277</v>
      </c>
      <c r="E9" s="39" t="s">
        <v>278</v>
      </c>
      <c r="F9" s="48">
        <v>3000</v>
      </c>
      <c r="G9" s="39">
        <f>COUNTIFS(BD_ALUNOS!Q:Q,B9,BD_ALUNOS!U:U,"Ativo")</f>
        <v>0</v>
      </c>
      <c r="H9" s="39" t="s">
        <v>120</v>
      </c>
    </row>
    <row r="10" spans="1:8">
      <c r="A10" s="39" t="str">
        <f t="shared" ref="A10:A50" si="0">IF(B10="","","P"&amp;TEXT(ROW()-5,"000"))</f>
        <v/>
      </c>
      <c r="B10" s="39"/>
      <c r="C10" s="39"/>
      <c r="D10" s="39"/>
      <c r="E10" s="39"/>
      <c r="F10" s="39"/>
      <c r="G10" s="39" t="str">
        <f>IF(B10="","",COUNTIFS(BD_ALUNOS!Q:Q,B10,BD_ALUNOS!U:U,"Ativo"))</f>
        <v/>
      </c>
      <c r="H10" s="39"/>
    </row>
    <row r="11" spans="1:8">
      <c r="A11" s="39" t="str">
        <f t="shared" si="0"/>
        <v/>
      </c>
      <c r="B11" s="39"/>
      <c r="C11" s="39"/>
      <c r="D11" s="39"/>
      <c r="E11" s="39"/>
      <c r="F11" s="39"/>
      <c r="G11" s="39" t="str">
        <f>IF(B11="","",COUNTIFS(BD_ALUNOS!Q:Q,B11,BD_ALUNOS!U:U,"Ativo"))</f>
        <v/>
      </c>
      <c r="H11" s="39"/>
    </row>
    <row r="12" spans="1:8">
      <c r="A12" s="39" t="str">
        <f t="shared" si="0"/>
        <v/>
      </c>
      <c r="B12" s="39"/>
      <c r="C12" s="39"/>
      <c r="D12" s="39"/>
      <c r="E12" s="39"/>
      <c r="F12" s="39"/>
      <c r="G12" s="39" t="str">
        <f>IF(B12="","",COUNTIFS(BD_ALUNOS!Q:Q,B12,BD_ALUNOS!U:U,"Ativo"))</f>
        <v/>
      </c>
      <c r="H12" s="39"/>
    </row>
    <row r="13" spans="1:8">
      <c r="A13" s="39" t="str">
        <f t="shared" si="0"/>
        <v/>
      </c>
      <c r="B13" s="39"/>
      <c r="C13" s="39"/>
      <c r="D13" s="39"/>
      <c r="E13" s="39"/>
      <c r="F13" s="39"/>
      <c r="G13" s="39" t="str">
        <f>IF(B13="","",COUNTIFS(BD_ALUNOS!Q:Q,B13,BD_ALUNOS!U:U,"Ativo"))</f>
        <v/>
      </c>
      <c r="H13" s="39"/>
    </row>
    <row r="14" spans="1:8">
      <c r="A14" s="39" t="str">
        <f t="shared" si="0"/>
        <v/>
      </c>
      <c r="B14" s="39"/>
      <c r="C14" s="39"/>
      <c r="D14" s="39"/>
      <c r="E14" s="39"/>
      <c r="F14" s="39"/>
      <c r="G14" s="39" t="str">
        <f>IF(B14="","",COUNTIFS(BD_ALUNOS!Q:Q,B14,BD_ALUNOS!U:U,"Ativo"))</f>
        <v/>
      </c>
      <c r="H14" s="39"/>
    </row>
    <row r="15" spans="1:8">
      <c r="A15" s="39" t="str">
        <f t="shared" si="0"/>
        <v/>
      </c>
      <c r="B15" s="39"/>
      <c r="C15" s="39"/>
      <c r="D15" s="39"/>
      <c r="E15" s="39"/>
      <c r="F15" s="39"/>
      <c r="G15" s="39" t="str">
        <f>IF(B15="","",COUNTIFS(BD_ALUNOS!Q:Q,B15,BD_ALUNOS!U:U,"Ativo"))</f>
        <v/>
      </c>
      <c r="H15" s="39"/>
    </row>
    <row r="16" spans="1:8">
      <c r="A16" s="39" t="str">
        <f t="shared" si="0"/>
        <v/>
      </c>
      <c r="B16" s="39"/>
      <c r="C16" s="39"/>
      <c r="D16" s="39"/>
      <c r="E16" s="39"/>
      <c r="F16" s="39"/>
      <c r="G16" s="39" t="str">
        <f>IF(B16="","",COUNTIFS(BD_ALUNOS!Q:Q,B16,BD_ALUNOS!U:U,"Ativo"))</f>
        <v/>
      </c>
      <c r="H16" s="39"/>
    </row>
    <row r="17" spans="1:8">
      <c r="A17" s="39" t="str">
        <f t="shared" si="0"/>
        <v/>
      </c>
      <c r="B17" s="39"/>
      <c r="C17" s="39"/>
      <c r="D17" s="39"/>
      <c r="E17" s="39"/>
      <c r="F17" s="39"/>
      <c r="G17" s="39" t="str">
        <f>IF(B17="","",COUNTIFS(BD_ALUNOS!Q:Q,B17,BD_ALUNOS!U:U,"Ativo"))</f>
        <v/>
      </c>
      <c r="H17" s="39"/>
    </row>
    <row r="18" spans="1:8">
      <c r="A18" s="39" t="str">
        <f t="shared" si="0"/>
        <v/>
      </c>
      <c r="B18" s="39"/>
      <c r="C18" s="39"/>
      <c r="D18" s="39"/>
      <c r="E18" s="39"/>
      <c r="F18" s="39"/>
      <c r="G18" s="39" t="str">
        <f>IF(B18="","",COUNTIFS(BD_ALUNOS!Q:Q,B18,BD_ALUNOS!U:U,"Ativo"))</f>
        <v/>
      </c>
      <c r="H18" s="39"/>
    </row>
    <row r="19" spans="1:8">
      <c r="A19" s="39" t="str">
        <f t="shared" si="0"/>
        <v/>
      </c>
      <c r="B19" s="39"/>
      <c r="C19" s="39"/>
      <c r="D19" s="39"/>
      <c r="E19" s="39"/>
      <c r="F19" s="39"/>
      <c r="G19" s="39" t="str">
        <f>IF(B19="","",COUNTIFS(BD_ALUNOS!Q:Q,B19,BD_ALUNOS!U:U,"Ativo"))</f>
        <v/>
      </c>
      <c r="H19" s="39"/>
    </row>
    <row r="20" spans="1:8">
      <c r="A20" s="39" t="str">
        <f t="shared" si="0"/>
        <v/>
      </c>
      <c r="B20" s="39"/>
      <c r="C20" s="39"/>
      <c r="D20" s="39"/>
      <c r="E20" s="39"/>
      <c r="F20" s="39"/>
      <c r="G20" s="39" t="str">
        <f>IF(B20="","",COUNTIFS(BD_ALUNOS!Q:Q,B20,BD_ALUNOS!U:U,"Ativo"))</f>
        <v/>
      </c>
      <c r="H20" s="39"/>
    </row>
    <row r="21" spans="1:8">
      <c r="A21" s="39" t="str">
        <f t="shared" si="0"/>
        <v/>
      </c>
      <c r="B21" s="39"/>
      <c r="C21" s="39"/>
      <c r="D21" s="39"/>
      <c r="E21" s="39"/>
      <c r="F21" s="39"/>
      <c r="G21" s="39" t="str">
        <f>IF(B21="","",COUNTIFS(BD_ALUNOS!Q:Q,B21,BD_ALUNOS!U:U,"Ativo"))</f>
        <v/>
      </c>
      <c r="H21" s="39"/>
    </row>
    <row r="22" spans="1:8">
      <c r="A22" s="39" t="str">
        <f t="shared" si="0"/>
        <v/>
      </c>
      <c r="B22" s="39"/>
      <c r="C22" s="39"/>
      <c r="D22" s="39"/>
      <c r="E22" s="39"/>
      <c r="F22" s="39"/>
      <c r="G22" s="39" t="str">
        <f>IF(B22="","",COUNTIFS(BD_ALUNOS!Q:Q,B22,BD_ALUNOS!U:U,"Ativo"))</f>
        <v/>
      </c>
      <c r="H22" s="39"/>
    </row>
    <row r="23" spans="1:8">
      <c r="A23" s="39" t="str">
        <f t="shared" si="0"/>
        <v/>
      </c>
      <c r="B23" s="39"/>
      <c r="C23" s="39"/>
      <c r="D23" s="39"/>
      <c r="E23" s="39"/>
      <c r="F23" s="39"/>
      <c r="G23" s="39" t="str">
        <f>IF(B23="","",COUNTIFS(BD_ALUNOS!Q:Q,B23,BD_ALUNOS!U:U,"Ativo"))</f>
        <v/>
      </c>
      <c r="H23" s="39"/>
    </row>
    <row r="24" spans="1:8">
      <c r="A24" s="39" t="str">
        <f t="shared" si="0"/>
        <v/>
      </c>
      <c r="B24" s="39"/>
      <c r="C24" s="39"/>
      <c r="D24" s="39"/>
      <c r="E24" s="39"/>
      <c r="F24" s="39"/>
      <c r="G24" s="39" t="str">
        <f>IF(B24="","",COUNTIFS(BD_ALUNOS!Q:Q,B24,BD_ALUNOS!U:U,"Ativo"))</f>
        <v/>
      </c>
      <c r="H24" s="39"/>
    </row>
    <row r="25" spans="1:8">
      <c r="A25" s="39" t="str">
        <f t="shared" si="0"/>
        <v/>
      </c>
      <c r="B25" s="39"/>
      <c r="C25" s="39"/>
      <c r="D25" s="39"/>
      <c r="E25" s="39"/>
      <c r="F25" s="39"/>
      <c r="G25" s="39" t="str">
        <f>IF(B25="","",COUNTIFS(BD_ALUNOS!Q:Q,B25,BD_ALUNOS!U:U,"Ativo"))</f>
        <v/>
      </c>
      <c r="H25" s="39"/>
    </row>
    <row r="26" spans="1:8">
      <c r="A26" s="39" t="str">
        <f t="shared" si="0"/>
        <v/>
      </c>
      <c r="B26" s="39"/>
      <c r="C26" s="39"/>
      <c r="D26" s="39"/>
      <c r="E26" s="39"/>
      <c r="F26" s="39"/>
      <c r="G26" s="39" t="str">
        <f>IF(B26="","",COUNTIFS(BD_ALUNOS!Q:Q,B26,BD_ALUNOS!U:U,"Ativo"))</f>
        <v/>
      </c>
      <c r="H26" s="39"/>
    </row>
    <row r="27" spans="1:8">
      <c r="A27" s="39" t="str">
        <f t="shared" si="0"/>
        <v/>
      </c>
      <c r="B27" s="39"/>
      <c r="C27" s="39"/>
      <c r="D27" s="39"/>
      <c r="E27" s="39"/>
      <c r="F27" s="39"/>
      <c r="G27" s="39" t="str">
        <f>IF(B27="","",COUNTIFS(BD_ALUNOS!Q:Q,B27,BD_ALUNOS!U:U,"Ativo"))</f>
        <v/>
      </c>
      <c r="H27" s="39"/>
    </row>
    <row r="28" spans="1:8">
      <c r="A28" s="39" t="str">
        <f t="shared" si="0"/>
        <v/>
      </c>
      <c r="B28" s="39"/>
      <c r="C28" s="39"/>
      <c r="D28" s="39"/>
      <c r="E28" s="39"/>
      <c r="F28" s="39"/>
      <c r="G28" s="39" t="str">
        <f>IF(B28="","",COUNTIFS(BD_ALUNOS!Q:Q,B28,BD_ALUNOS!U:U,"Ativo"))</f>
        <v/>
      </c>
      <c r="H28" s="39"/>
    </row>
    <row r="29" spans="1:8">
      <c r="A29" s="39" t="str">
        <f t="shared" si="0"/>
        <v/>
      </c>
      <c r="B29" s="39"/>
      <c r="C29" s="39"/>
      <c r="D29" s="39"/>
      <c r="E29" s="39"/>
      <c r="F29" s="39"/>
      <c r="G29" s="39" t="str">
        <f>IF(B29="","",COUNTIFS(BD_ALUNOS!Q:Q,B29,BD_ALUNOS!U:U,"Ativo"))</f>
        <v/>
      </c>
      <c r="H29" s="39"/>
    </row>
    <row r="30" spans="1:8">
      <c r="A30" s="39" t="str">
        <f t="shared" si="0"/>
        <v/>
      </c>
      <c r="B30" s="39"/>
      <c r="C30" s="39"/>
      <c r="D30" s="39"/>
      <c r="E30" s="39"/>
      <c r="F30" s="39"/>
      <c r="G30" s="39" t="str">
        <f>IF(B30="","",COUNTIFS(BD_ALUNOS!Q:Q,B30,BD_ALUNOS!U:U,"Ativo"))</f>
        <v/>
      </c>
      <c r="H30" s="39"/>
    </row>
    <row r="31" spans="1:8">
      <c r="A31" s="39" t="str">
        <f t="shared" si="0"/>
        <v/>
      </c>
      <c r="B31" s="39"/>
      <c r="C31" s="39"/>
      <c r="D31" s="39"/>
      <c r="E31" s="39"/>
      <c r="F31" s="39"/>
      <c r="G31" s="39" t="str">
        <f>IF(B31="","",COUNTIFS(BD_ALUNOS!Q:Q,B31,BD_ALUNOS!U:U,"Ativo"))</f>
        <v/>
      </c>
      <c r="H31" s="39"/>
    </row>
    <row r="32" spans="1:8">
      <c r="A32" s="39" t="str">
        <f t="shared" si="0"/>
        <v/>
      </c>
      <c r="B32" s="39"/>
      <c r="C32" s="39"/>
      <c r="D32" s="39"/>
      <c r="E32" s="39"/>
      <c r="F32" s="39"/>
      <c r="G32" s="39" t="str">
        <f>IF(B32="","",COUNTIFS(BD_ALUNOS!Q:Q,B32,BD_ALUNOS!U:U,"Ativo"))</f>
        <v/>
      </c>
      <c r="H32" s="39"/>
    </row>
    <row r="33" spans="1:8">
      <c r="A33" s="39" t="str">
        <f t="shared" si="0"/>
        <v/>
      </c>
      <c r="B33" s="39"/>
      <c r="C33" s="39"/>
      <c r="D33" s="39"/>
      <c r="E33" s="39"/>
      <c r="F33" s="39"/>
      <c r="G33" s="39" t="str">
        <f>IF(B33="","",COUNTIFS(BD_ALUNOS!Q:Q,B33,BD_ALUNOS!U:U,"Ativo"))</f>
        <v/>
      </c>
      <c r="H33" s="39"/>
    </row>
    <row r="34" spans="1:8">
      <c r="A34" s="39" t="str">
        <f t="shared" si="0"/>
        <v/>
      </c>
      <c r="B34" s="39"/>
      <c r="C34" s="39"/>
      <c r="D34" s="39"/>
      <c r="E34" s="39"/>
      <c r="F34" s="39"/>
      <c r="G34" s="39" t="str">
        <f>IF(B34="","",COUNTIFS(BD_ALUNOS!Q:Q,B34,BD_ALUNOS!U:U,"Ativo"))</f>
        <v/>
      </c>
      <c r="H34" s="39"/>
    </row>
    <row r="35" spans="1:8">
      <c r="A35" s="39" t="str">
        <f t="shared" si="0"/>
        <v/>
      </c>
      <c r="B35" s="39"/>
      <c r="C35" s="39"/>
      <c r="D35" s="39"/>
      <c r="E35" s="39"/>
      <c r="F35" s="39"/>
      <c r="G35" s="39" t="str">
        <f>IF(B35="","",COUNTIFS(BD_ALUNOS!Q:Q,B35,BD_ALUNOS!U:U,"Ativo"))</f>
        <v/>
      </c>
      <c r="H35" s="39"/>
    </row>
    <row r="36" spans="1:8">
      <c r="A36" s="39" t="str">
        <f t="shared" si="0"/>
        <v/>
      </c>
      <c r="B36" s="39"/>
      <c r="C36" s="39"/>
      <c r="D36" s="39"/>
      <c r="E36" s="39"/>
      <c r="F36" s="39"/>
      <c r="G36" s="39" t="str">
        <f>IF(B36="","",COUNTIFS(BD_ALUNOS!Q:Q,B36,BD_ALUNOS!U:U,"Ativo"))</f>
        <v/>
      </c>
      <c r="H36" s="39"/>
    </row>
    <row r="37" spans="1:8">
      <c r="A37" s="39" t="str">
        <f t="shared" si="0"/>
        <v/>
      </c>
      <c r="B37" s="39"/>
      <c r="C37" s="39"/>
      <c r="D37" s="39"/>
      <c r="E37" s="39"/>
      <c r="F37" s="39"/>
      <c r="G37" s="39" t="str">
        <f>IF(B37="","",COUNTIFS(BD_ALUNOS!Q:Q,B37,BD_ALUNOS!U:U,"Ativo"))</f>
        <v/>
      </c>
      <c r="H37" s="39"/>
    </row>
    <row r="38" spans="1:8">
      <c r="A38" s="39" t="str">
        <f t="shared" si="0"/>
        <v/>
      </c>
      <c r="B38" s="39"/>
      <c r="C38" s="39"/>
      <c r="D38" s="39"/>
      <c r="E38" s="39"/>
      <c r="F38" s="39"/>
      <c r="G38" s="39" t="str">
        <f>IF(B38="","",COUNTIFS(BD_ALUNOS!Q:Q,B38,BD_ALUNOS!U:U,"Ativo"))</f>
        <v/>
      </c>
      <c r="H38" s="39"/>
    </row>
    <row r="39" spans="1:8">
      <c r="A39" s="39" t="str">
        <f t="shared" si="0"/>
        <v/>
      </c>
      <c r="B39" s="39"/>
      <c r="C39" s="39"/>
      <c r="D39" s="39"/>
      <c r="E39" s="39"/>
      <c r="F39" s="39"/>
      <c r="G39" s="39" t="str">
        <f>IF(B39="","",COUNTIFS(BD_ALUNOS!Q:Q,B39,BD_ALUNOS!U:U,"Ativo"))</f>
        <v/>
      </c>
      <c r="H39" s="39"/>
    </row>
    <row r="40" spans="1:8">
      <c r="A40" s="39" t="str">
        <f t="shared" si="0"/>
        <v/>
      </c>
      <c r="B40" s="39"/>
      <c r="C40" s="39"/>
      <c r="D40" s="39"/>
      <c r="E40" s="39"/>
      <c r="F40" s="39"/>
      <c r="G40" s="39" t="str">
        <f>IF(B40="","",COUNTIFS(BD_ALUNOS!Q:Q,B40,BD_ALUNOS!U:U,"Ativo"))</f>
        <v/>
      </c>
      <c r="H40" s="39"/>
    </row>
    <row r="41" spans="1:8">
      <c r="A41" s="39" t="str">
        <f t="shared" si="0"/>
        <v/>
      </c>
      <c r="B41" s="39"/>
      <c r="C41" s="39"/>
      <c r="D41" s="39"/>
      <c r="E41" s="39"/>
      <c r="F41" s="39"/>
      <c r="G41" s="39" t="str">
        <f>IF(B41="","",COUNTIFS(BD_ALUNOS!Q:Q,B41,BD_ALUNOS!U:U,"Ativo"))</f>
        <v/>
      </c>
      <c r="H41" s="39"/>
    </row>
    <row r="42" spans="1:8">
      <c r="A42" s="39" t="str">
        <f t="shared" si="0"/>
        <v/>
      </c>
      <c r="B42" s="39"/>
      <c r="C42" s="39"/>
      <c r="D42" s="39"/>
      <c r="E42" s="39"/>
      <c r="F42" s="39"/>
      <c r="G42" s="39" t="str">
        <f>IF(B42="","",COUNTIFS(BD_ALUNOS!Q:Q,B42,BD_ALUNOS!U:U,"Ativo"))</f>
        <v/>
      </c>
      <c r="H42" s="39"/>
    </row>
    <row r="43" spans="1:8">
      <c r="A43" s="39" t="str">
        <f t="shared" si="0"/>
        <v/>
      </c>
      <c r="B43" s="39"/>
      <c r="C43" s="39"/>
      <c r="D43" s="39"/>
      <c r="E43" s="39"/>
      <c r="F43" s="39"/>
      <c r="G43" s="39" t="str">
        <f>IF(B43="","",COUNTIFS(BD_ALUNOS!Q:Q,B43,BD_ALUNOS!U:U,"Ativo"))</f>
        <v/>
      </c>
      <c r="H43" s="39"/>
    </row>
    <row r="44" spans="1:8">
      <c r="A44" s="39" t="str">
        <f t="shared" si="0"/>
        <v/>
      </c>
      <c r="B44" s="39"/>
      <c r="C44" s="39"/>
      <c r="D44" s="39"/>
      <c r="E44" s="39"/>
      <c r="F44" s="39"/>
      <c r="G44" s="39" t="str">
        <f>IF(B44="","",COUNTIFS(BD_ALUNOS!Q:Q,B44,BD_ALUNOS!U:U,"Ativo"))</f>
        <v/>
      </c>
      <c r="H44" s="39"/>
    </row>
    <row r="45" spans="1:8">
      <c r="A45" s="39" t="str">
        <f t="shared" si="0"/>
        <v/>
      </c>
      <c r="B45" s="39"/>
      <c r="C45" s="39"/>
      <c r="D45" s="39"/>
      <c r="E45" s="39"/>
      <c r="F45" s="39"/>
      <c r="G45" s="39" t="str">
        <f>IF(B45="","",COUNTIFS(BD_ALUNOS!Q:Q,B45,BD_ALUNOS!U:U,"Ativo"))</f>
        <v/>
      </c>
      <c r="H45" s="39"/>
    </row>
    <row r="46" spans="1:8">
      <c r="A46" s="39" t="str">
        <f t="shared" si="0"/>
        <v/>
      </c>
      <c r="B46" s="39"/>
      <c r="C46" s="39"/>
      <c r="D46" s="39"/>
      <c r="E46" s="39"/>
      <c r="F46" s="39"/>
      <c r="G46" s="39" t="str">
        <f>IF(B46="","",COUNTIFS(BD_ALUNOS!Q:Q,B46,BD_ALUNOS!U:U,"Ativo"))</f>
        <v/>
      </c>
      <c r="H46" s="39"/>
    </row>
    <row r="47" spans="1:8">
      <c r="A47" s="39" t="str">
        <f t="shared" si="0"/>
        <v/>
      </c>
      <c r="B47" s="39"/>
      <c r="C47" s="39"/>
      <c r="D47" s="39"/>
      <c r="E47" s="39"/>
      <c r="F47" s="39"/>
      <c r="G47" s="39" t="str">
        <f>IF(B47="","",COUNTIFS(BD_ALUNOS!Q:Q,B47,BD_ALUNOS!U:U,"Ativo"))</f>
        <v/>
      </c>
      <c r="H47" s="39"/>
    </row>
    <row r="48" spans="1:8">
      <c r="A48" s="39" t="str">
        <f t="shared" si="0"/>
        <v/>
      </c>
      <c r="B48" s="39"/>
      <c r="C48" s="39"/>
      <c r="D48" s="39"/>
      <c r="E48" s="39"/>
      <c r="F48" s="39"/>
      <c r="G48" s="39" t="str">
        <f>IF(B48="","",COUNTIFS(BD_ALUNOS!Q:Q,B48,BD_ALUNOS!U:U,"Ativo"))</f>
        <v/>
      </c>
      <c r="H48" s="39"/>
    </row>
    <row r="49" spans="1:8">
      <c r="A49" s="39" t="str">
        <f t="shared" si="0"/>
        <v/>
      </c>
      <c r="B49" s="39"/>
      <c r="C49" s="39"/>
      <c r="D49" s="39"/>
      <c r="E49" s="39"/>
      <c r="F49" s="39"/>
      <c r="G49" s="39" t="str">
        <f>IF(B49="","",COUNTIFS(BD_ALUNOS!Q:Q,B49,BD_ALUNOS!U:U,"Ativo"))</f>
        <v/>
      </c>
      <c r="H49" s="39"/>
    </row>
    <row r="50" spans="1:8">
      <c r="A50" s="39" t="str">
        <f t="shared" si="0"/>
        <v/>
      </c>
      <c r="B50" s="39"/>
      <c r="C50" s="39"/>
      <c r="D50" s="39"/>
      <c r="E50" s="39"/>
      <c r="F50" s="39"/>
      <c r="G50" s="39" t="str">
        <f>IF(B50="","",COUNTIFS(BD_ALUNOS!Q:Q,B50,BD_ALUNOS!U:U,"Ativo"))</f>
        <v/>
      </c>
      <c r="H50" s="39"/>
    </row>
  </sheetData>
  <mergeCells count="2">
    <mergeCell ref="A2:H2"/>
    <mergeCell ref="A1:H1"/>
  </mergeCells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Valor inválido" error="Selecione um valor da lista." xr:uid="{00000000-0002-0000-0A00-000000000000}">
          <x14:formula1>
            <xm:f>'15_CONFIG'!$Q$8:$Q$20</xm:f>
          </x14:formula1>
          <xm:sqref>E6:E50</xm:sqref>
        </x14:dataValidation>
        <x14:dataValidation type="list" allowBlank="1" showErrorMessage="1" errorTitle="Valor inválido" error="Selecione um valor da lista." xr:uid="{00000000-0002-0000-0A00-000001000000}">
          <x14:formula1>
            <xm:f>'15_CONFIG'!$S$8:$S$12</xm:f>
          </x14:formula1>
          <xm:sqref>H6:H50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>
    <tabColor rgb="FFA3001E"/>
  </sheetPr>
  <dimension ref="A1:S40"/>
  <sheetViews>
    <sheetView workbookViewId="0">
      <pane ySplit="5" topLeftCell="A6" activePane="bottomLeft" state="frozen"/>
      <selection pane="bottomLeft"/>
    </sheetView>
  </sheetViews>
  <sheetFormatPr defaultRowHeight="14.4"/>
  <cols>
    <col min="1" max="1" width="8" customWidth="1"/>
    <col min="2" max="2" width="20" customWidth="1"/>
    <col min="3" max="3" width="14" customWidth="1"/>
    <col min="4" max="4" width="10" customWidth="1"/>
    <col min="5" max="7" width="12" customWidth="1"/>
    <col min="8" max="9" width="10" customWidth="1"/>
    <col min="10" max="10" width="14" customWidth="1"/>
    <col min="11" max="12" width="12" customWidth="1"/>
    <col min="14" max="14" width="12" customWidth="1"/>
    <col min="15" max="15" width="20" customWidth="1"/>
    <col min="16" max="16" width="14" customWidth="1"/>
    <col min="17" max="18" width="12" customWidth="1"/>
    <col min="19" max="19" width="24" customWidth="1"/>
  </cols>
  <sheetData>
    <row r="1" spans="1:19" ht="36" customHeight="1">
      <c r="A1" s="122" t="s">
        <v>279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</row>
    <row r="2" spans="1:19" ht="18" customHeight="1">
      <c r="A2" s="124" t="s">
        <v>280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</row>
    <row r="4" spans="1:19">
      <c r="A4" s="42" t="s">
        <v>281</v>
      </c>
    </row>
    <row r="5" spans="1:19" ht="28.8">
      <c r="A5" s="35" t="s">
        <v>178</v>
      </c>
      <c r="B5" s="35" t="s">
        <v>282</v>
      </c>
      <c r="C5" s="35" t="s">
        <v>239</v>
      </c>
      <c r="D5" s="35" t="s">
        <v>283</v>
      </c>
      <c r="E5" s="35" t="s">
        <v>284</v>
      </c>
      <c r="F5" s="35" t="s">
        <v>285</v>
      </c>
      <c r="G5" s="35" t="s">
        <v>286</v>
      </c>
      <c r="H5" s="35" t="s">
        <v>218</v>
      </c>
      <c r="I5" s="35" t="s">
        <v>219</v>
      </c>
      <c r="J5" s="35" t="s">
        <v>287</v>
      </c>
      <c r="K5" s="35" t="s">
        <v>288</v>
      </c>
      <c r="L5" s="35" t="s">
        <v>289</v>
      </c>
      <c r="N5" s="126" t="s">
        <v>290</v>
      </c>
      <c r="O5" s="87"/>
      <c r="P5" s="87"/>
      <c r="Q5" s="87"/>
      <c r="R5" s="87"/>
      <c r="S5" s="87"/>
    </row>
    <row r="6" spans="1:19">
      <c r="A6" s="39" t="s">
        <v>291</v>
      </c>
      <c r="B6" s="39" t="s">
        <v>292</v>
      </c>
      <c r="C6" s="39" t="s">
        <v>293</v>
      </c>
      <c r="D6" s="39">
        <v>20</v>
      </c>
      <c r="E6" s="39">
        <v>5</v>
      </c>
      <c r="F6" s="48">
        <v>89.9</v>
      </c>
      <c r="G6" s="48">
        <v>149.9</v>
      </c>
      <c r="H6" s="39">
        <v>0</v>
      </c>
      <c r="I6" s="39">
        <v>0</v>
      </c>
      <c r="J6" s="48">
        <f t="shared" ref="J6:J11" si="0">D6*F6</f>
        <v>1798</v>
      </c>
      <c r="K6" s="48">
        <f t="shared" ref="K6:K11" si="1">G6-F6</f>
        <v>60</v>
      </c>
      <c r="L6" s="39" t="str">
        <f t="shared" ref="L6:L40" si="2">IF(D6="","",IF(D6&lt;=E6,"🔴 REPOR","🟢 OK"))</f>
        <v>🟢 OK</v>
      </c>
      <c r="N6" s="33" t="s">
        <v>217</v>
      </c>
      <c r="O6" s="33" t="s">
        <v>282</v>
      </c>
      <c r="P6" s="33" t="s">
        <v>294</v>
      </c>
      <c r="Q6" s="33" t="s">
        <v>295</v>
      </c>
      <c r="R6" s="33" t="s">
        <v>296</v>
      </c>
      <c r="S6" s="33" t="s">
        <v>297</v>
      </c>
    </row>
    <row r="7" spans="1:19">
      <c r="A7" s="39" t="s">
        <v>298</v>
      </c>
      <c r="B7" s="39" t="s">
        <v>299</v>
      </c>
      <c r="C7" s="39" t="s">
        <v>293</v>
      </c>
      <c r="D7" s="39">
        <v>25</v>
      </c>
      <c r="E7" s="39">
        <v>5</v>
      </c>
      <c r="F7" s="48">
        <v>45</v>
      </c>
      <c r="G7" s="48">
        <v>79.900000000000006</v>
      </c>
      <c r="H7" s="39">
        <v>0</v>
      </c>
      <c r="I7" s="39">
        <v>0</v>
      </c>
      <c r="J7" s="48">
        <f t="shared" si="0"/>
        <v>1125</v>
      </c>
      <c r="K7" s="48">
        <f t="shared" si="1"/>
        <v>34.900000000000006</v>
      </c>
      <c r="L7" s="39" t="str">
        <f t="shared" si="2"/>
        <v>🟢 OK</v>
      </c>
      <c r="N7" s="49">
        <v>46213</v>
      </c>
      <c r="O7" s="39" t="s">
        <v>292</v>
      </c>
      <c r="P7" s="39" t="s">
        <v>300</v>
      </c>
      <c r="Q7" s="39">
        <v>1</v>
      </c>
      <c r="R7" s="48">
        <v>149.9</v>
      </c>
      <c r="S7" s="39" t="s">
        <v>301</v>
      </c>
    </row>
    <row r="8" spans="1:19">
      <c r="A8" s="39" t="s">
        <v>302</v>
      </c>
      <c r="B8" s="39" t="s">
        <v>303</v>
      </c>
      <c r="C8" s="39" t="s">
        <v>293</v>
      </c>
      <c r="D8" s="39">
        <v>40</v>
      </c>
      <c r="E8" s="39">
        <v>10</v>
      </c>
      <c r="F8" s="48">
        <v>6.5</v>
      </c>
      <c r="G8" s="48">
        <v>12.9</v>
      </c>
      <c r="H8" s="39">
        <v>0</v>
      </c>
      <c r="I8" s="39">
        <v>0</v>
      </c>
      <c r="J8" s="48">
        <f t="shared" si="0"/>
        <v>260</v>
      </c>
      <c r="K8" s="48">
        <f t="shared" si="1"/>
        <v>6.4</v>
      </c>
      <c r="L8" s="39" t="str">
        <f t="shared" si="2"/>
        <v>🟢 OK</v>
      </c>
      <c r="N8" s="39"/>
      <c r="O8" s="39"/>
      <c r="P8" s="39"/>
      <c r="Q8" s="39"/>
      <c r="R8" s="39"/>
      <c r="S8" s="39"/>
    </row>
    <row r="9" spans="1:19">
      <c r="A9" s="39" t="s">
        <v>304</v>
      </c>
      <c r="B9" s="39" t="s">
        <v>305</v>
      </c>
      <c r="C9" s="39" t="s">
        <v>306</v>
      </c>
      <c r="D9" s="39">
        <v>30</v>
      </c>
      <c r="E9" s="39">
        <v>5</v>
      </c>
      <c r="F9" s="48">
        <v>25</v>
      </c>
      <c r="G9" s="48">
        <v>69.900000000000006</v>
      </c>
      <c r="H9" s="39">
        <v>0</v>
      </c>
      <c r="I9" s="39">
        <v>0</v>
      </c>
      <c r="J9" s="48">
        <f t="shared" si="0"/>
        <v>750</v>
      </c>
      <c r="K9" s="48">
        <f t="shared" si="1"/>
        <v>44.900000000000006</v>
      </c>
      <c r="L9" s="39" t="str">
        <f t="shared" si="2"/>
        <v>🟢 OK</v>
      </c>
      <c r="N9" s="39"/>
      <c r="O9" s="39"/>
      <c r="P9" s="39"/>
      <c r="Q9" s="39"/>
      <c r="R9" s="39"/>
      <c r="S9" s="39"/>
    </row>
    <row r="10" spans="1:19">
      <c r="A10" s="39" t="s">
        <v>307</v>
      </c>
      <c r="B10" s="39" t="s">
        <v>308</v>
      </c>
      <c r="C10" s="39" t="s">
        <v>309</v>
      </c>
      <c r="D10" s="39">
        <v>20</v>
      </c>
      <c r="E10" s="39">
        <v>5</v>
      </c>
      <c r="F10" s="48">
        <v>12</v>
      </c>
      <c r="G10" s="48">
        <v>39.9</v>
      </c>
      <c r="H10" s="39">
        <v>0</v>
      </c>
      <c r="I10" s="39">
        <v>0</v>
      </c>
      <c r="J10" s="48">
        <f t="shared" si="0"/>
        <v>240</v>
      </c>
      <c r="K10" s="48">
        <f t="shared" si="1"/>
        <v>27.9</v>
      </c>
      <c r="L10" s="39" t="str">
        <f t="shared" si="2"/>
        <v>🟢 OK</v>
      </c>
      <c r="N10" s="39"/>
      <c r="O10" s="39"/>
      <c r="P10" s="39"/>
      <c r="Q10" s="39"/>
      <c r="R10" s="39"/>
      <c r="S10" s="39"/>
    </row>
    <row r="11" spans="1:19">
      <c r="A11" s="39" t="s">
        <v>310</v>
      </c>
      <c r="B11" s="39" t="s">
        <v>311</v>
      </c>
      <c r="C11" s="39" t="s">
        <v>309</v>
      </c>
      <c r="D11" s="39">
        <v>15</v>
      </c>
      <c r="E11" s="39">
        <v>3</v>
      </c>
      <c r="F11" s="48">
        <v>18</v>
      </c>
      <c r="G11" s="48">
        <v>49.9</v>
      </c>
      <c r="H11" s="39">
        <v>0</v>
      </c>
      <c r="I11" s="39">
        <v>0</v>
      </c>
      <c r="J11" s="48">
        <f t="shared" si="0"/>
        <v>270</v>
      </c>
      <c r="K11" s="48">
        <f t="shared" si="1"/>
        <v>31.9</v>
      </c>
      <c r="L11" s="39" t="str">
        <f t="shared" si="2"/>
        <v>🟢 OK</v>
      </c>
      <c r="N11" s="39"/>
      <c r="O11" s="39"/>
      <c r="P11" s="39"/>
      <c r="Q11" s="39"/>
      <c r="R11" s="39"/>
      <c r="S11" s="39"/>
    </row>
    <row r="12" spans="1:19">
      <c r="A12" s="39"/>
      <c r="B12" s="39"/>
      <c r="C12" s="39"/>
      <c r="D12" s="39"/>
      <c r="E12" s="39"/>
      <c r="F12" s="39"/>
      <c r="G12" s="39"/>
      <c r="H12" s="39"/>
      <c r="I12" s="39"/>
      <c r="J12" s="39" t="str">
        <f t="shared" ref="J12:J40" si="3">IF(D12="","",D12*F12)</f>
        <v/>
      </c>
      <c r="K12" s="39" t="str">
        <f t="shared" ref="K12:K40" si="4">IF(G12="","",G12-F12)</f>
        <v/>
      </c>
      <c r="L12" s="39" t="str">
        <f t="shared" si="2"/>
        <v/>
      </c>
      <c r="N12" s="39"/>
      <c r="O12" s="39"/>
      <c r="P12" s="39"/>
      <c r="Q12" s="39"/>
      <c r="R12" s="39"/>
      <c r="S12" s="39"/>
    </row>
    <row r="13" spans="1:19">
      <c r="A13" s="39"/>
      <c r="B13" s="39"/>
      <c r="C13" s="39"/>
      <c r="D13" s="39"/>
      <c r="E13" s="39"/>
      <c r="F13" s="39"/>
      <c r="G13" s="39"/>
      <c r="H13" s="39"/>
      <c r="I13" s="39"/>
      <c r="J13" s="39" t="str">
        <f t="shared" si="3"/>
        <v/>
      </c>
      <c r="K13" s="39" t="str">
        <f t="shared" si="4"/>
        <v/>
      </c>
      <c r="L13" s="39" t="str">
        <f t="shared" si="2"/>
        <v/>
      </c>
      <c r="N13" s="39"/>
      <c r="O13" s="39"/>
      <c r="P13" s="39"/>
      <c r="Q13" s="39"/>
      <c r="R13" s="39"/>
      <c r="S13" s="39"/>
    </row>
    <row r="14" spans="1:19">
      <c r="A14" s="39"/>
      <c r="B14" s="39"/>
      <c r="C14" s="39"/>
      <c r="D14" s="39"/>
      <c r="E14" s="39"/>
      <c r="F14" s="39"/>
      <c r="G14" s="39"/>
      <c r="H14" s="39"/>
      <c r="I14" s="39"/>
      <c r="J14" s="39" t="str">
        <f t="shared" si="3"/>
        <v/>
      </c>
      <c r="K14" s="39" t="str">
        <f t="shared" si="4"/>
        <v/>
      </c>
      <c r="L14" s="39" t="str">
        <f t="shared" si="2"/>
        <v/>
      </c>
      <c r="N14" s="39"/>
      <c r="O14" s="39"/>
      <c r="P14" s="39"/>
      <c r="Q14" s="39"/>
      <c r="R14" s="39"/>
      <c r="S14" s="39"/>
    </row>
    <row r="15" spans="1:19">
      <c r="A15" s="39"/>
      <c r="B15" s="39"/>
      <c r="C15" s="39"/>
      <c r="D15" s="39"/>
      <c r="E15" s="39"/>
      <c r="F15" s="39"/>
      <c r="G15" s="39"/>
      <c r="H15" s="39"/>
      <c r="I15" s="39"/>
      <c r="J15" s="39" t="str">
        <f t="shared" si="3"/>
        <v/>
      </c>
      <c r="K15" s="39" t="str">
        <f t="shared" si="4"/>
        <v/>
      </c>
      <c r="L15" s="39" t="str">
        <f t="shared" si="2"/>
        <v/>
      </c>
      <c r="N15" s="39"/>
      <c r="O15" s="39"/>
      <c r="P15" s="39"/>
      <c r="Q15" s="39"/>
      <c r="R15" s="39"/>
      <c r="S15" s="39"/>
    </row>
    <row r="16" spans="1:19">
      <c r="A16" s="39"/>
      <c r="B16" s="39"/>
      <c r="C16" s="39"/>
      <c r="D16" s="39"/>
      <c r="E16" s="39"/>
      <c r="F16" s="39"/>
      <c r="G16" s="39"/>
      <c r="H16" s="39"/>
      <c r="I16" s="39"/>
      <c r="J16" s="39" t="str">
        <f t="shared" si="3"/>
        <v/>
      </c>
      <c r="K16" s="39" t="str">
        <f t="shared" si="4"/>
        <v/>
      </c>
      <c r="L16" s="39" t="str">
        <f t="shared" si="2"/>
        <v/>
      </c>
      <c r="N16" s="39"/>
      <c r="O16" s="39"/>
      <c r="P16" s="39"/>
      <c r="Q16" s="39"/>
      <c r="R16" s="39"/>
      <c r="S16" s="39"/>
    </row>
    <row r="17" spans="1:19">
      <c r="A17" s="39"/>
      <c r="B17" s="39"/>
      <c r="C17" s="39"/>
      <c r="D17" s="39"/>
      <c r="E17" s="39"/>
      <c r="F17" s="39"/>
      <c r="G17" s="39"/>
      <c r="H17" s="39"/>
      <c r="I17" s="39"/>
      <c r="J17" s="39" t="str">
        <f t="shared" si="3"/>
        <v/>
      </c>
      <c r="K17" s="39" t="str">
        <f t="shared" si="4"/>
        <v/>
      </c>
      <c r="L17" s="39" t="str">
        <f t="shared" si="2"/>
        <v/>
      </c>
      <c r="N17" s="39"/>
      <c r="O17" s="39"/>
      <c r="P17" s="39"/>
      <c r="Q17" s="39"/>
      <c r="R17" s="39"/>
      <c r="S17" s="39"/>
    </row>
    <row r="18" spans="1:19">
      <c r="A18" s="39"/>
      <c r="B18" s="39"/>
      <c r="C18" s="39"/>
      <c r="D18" s="39"/>
      <c r="E18" s="39"/>
      <c r="F18" s="39"/>
      <c r="G18" s="39"/>
      <c r="H18" s="39"/>
      <c r="I18" s="39"/>
      <c r="J18" s="39" t="str">
        <f t="shared" si="3"/>
        <v/>
      </c>
      <c r="K18" s="39" t="str">
        <f t="shared" si="4"/>
        <v/>
      </c>
      <c r="L18" s="39" t="str">
        <f t="shared" si="2"/>
        <v/>
      </c>
      <c r="N18" s="39"/>
      <c r="O18" s="39"/>
      <c r="P18" s="39"/>
      <c r="Q18" s="39"/>
      <c r="R18" s="39"/>
      <c r="S18" s="39"/>
    </row>
    <row r="19" spans="1:19">
      <c r="A19" s="39"/>
      <c r="B19" s="39"/>
      <c r="C19" s="39"/>
      <c r="D19" s="39"/>
      <c r="E19" s="39"/>
      <c r="F19" s="39"/>
      <c r="G19" s="39"/>
      <c r="H19" s="39"/>
      <c r="I19" s="39"/>
      <c r="J19" s="39" t="str">
        <f t="shared" si="3"/>
        <v/>
      </c>
      <c r="K19" s="39" t="str">
        <f t="shared" si="4"/>
        <v/>
      </c>
      <c r="L19" s="39" t="str">
        <f t="shared" si="2"/>
        <v/>
      </c>
      <c r="N19" s="39"/>
      <c r="O19" s="39"/>
      <c r="P19" s="39"/>
      <c r="Q19" s="39"/>
      <c r="R19" s="39"/>
      <c r="S19" s="39"/>
    </row>
    <row r="20" spans="1:19">
      <c r="A20" s="39"/>
      <c r="B20" s="39"/>
      <c r="C20" s="39"/>
      <c r="D20" s="39"/>
      <c r="E20" s="39"/>
      <c r="F20" s="39"/>
      <c r="G20" s="39"/>
      <c r="H20" s="39"/>
      <c r="I20" s="39"/>
      <c r="J20" s="39" t="str">
        <f t="shared" si="3"/>
        <v/>
      </c>
      <c r="K20" s="39" t="str">
        <f t="shared" si="4"/>
        <v/>
      </c>
      <c r="L20" s="39" t="str">
        <f t="shared" si="2"/>
        <v/>
      </c>
      <c r="N20" s="39"/>
      <c r="O20" s="39"/>
      <c r="P20" s="39"/>
      <c r="Q20" s="39"/>
      <c r="R20" s="39"/>
      <c r="S20" s="39"/>
    </row>
    <row r="21" spans="1:19">
      <c r="A21" s="39"/>
      <c r="B21" s="39"/>
      <c r="C21" s="39"/>
      <c r="D21" s="39"/>
      <c r="E21" s="39"/>
      <c r="F21" s="39"/>
      <c r="G21" s="39"/>
      <c r="H21" s="39"/>
      <c r="I21" s="39"/>
      <c r="J21" s="39" t="str">
        <f t="shared" si="3"/>
        <v/>
      </c>
      <c r="K21" s="39" t="str">
        <f t="shared" si="4"/>
        <v/>
      </c>
      <c r="L21" s="39" t="str">
        <f t="shared" si="2"/>
        <v/>
      </c>
      <c r="N21" s="39"/>
      <c r="O21" s="39"/>
      <c r="P21" s="39"/>
      <c r="Q21" s="39"/>
      <c r="R21" s="39"/>
      <c r="S21" s="39"/>
    </row>
    <row r="22" spans="1:19">
      <c r="A22" s="39"/>
      <c r="B22" s="39"/>
      <c r="C22" s="39"/>
      <c r="D22" s="39"/>
      <c r="E22" s="39"/>
      <c r="F22" s="39"/>
      <c r="G22" s="39"/>
      <c r="H22" s="39"/>
      <c r="I22" s="39"/>
      <c r="J22" s="39" t="str">
        <f t="shared" si="3"/>
        <v/>
      </c>
      <c r="K22" s="39" t="str">
        <f t="shared" si="4"/>
        <v/>
      </c>
      <c r="L22" s="39" t="str">
        <f t="shared" si="2"/>
        <v/>
      </c>
      <c r="N22" s="39"/>
      <c r="O22" s="39"/>
      <c r="P22" s="39"/>
      <c r="Q22" s="39"/>
      <c r="R22" s="39"/>
      <c r="S22" s="39"/>
    </row>
    <row r="23" spans="1:19">
      <c r="A23" s="39"/>
      <c r="B23" s="39"/>
      <c r="C23" s="39"/>
      <c r="D23" s="39"/>
      <c r="E23" s="39"/>
      <c r="F23" s="39"/>
      <c r="G23" s="39"/>
      <c r="H23" s="39"/>
      <c r="I23" s="39"/>
      <c r="J23" s="39" t="str">
        <f t="shared" si="3"/>
        <v/>
      </c>
      <c r="K23" s="39" t="str">
        <f t="shared" si="4"/>
        <v/>
      </c>
      <c r="L23" s="39" t="str">
        <f t="shared" si="2"/>
        <v/>
      </c>
      <c r="N23" s="39"/>
      <c r="O23" s="39"/>
      <c r="P23" s="39"/>
      <c r="Q23" s="39"/>
      <c r="R23" s="39"/>
      <c r="S23" s="39"/>
    </row>
    <row r="24" spans="1:19">
      <c r="A24" s="39"/>
      <c r="B24" s="39"/>
      <c r="C24" s="39"/>
      <c r="D24" s="39"/>
      <c r="E24" s="39"/>
      <c r="F24" s="39"/>
      <c r="G24" s="39"/>
      <c r="H24" s="39"/>
      <c r="I24" s="39"/>
      <c r="J24" s="39" t="str">
        <f t="shared" si="3"/>
        <v/>
      </c>
      <c r="K24" s="39" t="str">
        <f t="shared" si="4"/>
        <v/>
      </c>
      <c r="L24" s="39" t="str">
        <f t="shared" si="2"/>
        <v/>
      </c>
      <c r="N24" s="39"/>
      <c r="O24" s="39"/>
      <c r="P24" s="39"/>
      <c r="Q24" s="39"/>
      <c r="R24" s="39"/>
      <c r="S24" s="39"/>
    </row>
    <row r="25" spans="1:19">
      <c r="A25" s="39"/>
      <c r="B25" s="39"/>
      <c r="C25" s="39"/>
      <c r="D25" s="39"/>
      <c r="E25" s="39"/>
      <c r="F25" s="39"/>
      <c r="G25" s="39"/>
      <c r="H25" s="39"/>
      <c r="I25" s="39"/>
      <c r="J25" s="39" t="str">
        <f t="shared" si="3"/>
        <v/>
      </c>
      <c r="K25" s="39" t="str">
        <f t="shared" si="4"/>
        <v/>
      </c>
      <c r="L25" s="39" t="str">
        <f t="shared" si="2"/>
        <v/>
      </c>
      <c r="N25" s="39"/>
      <c r="O25" s="39"/>
      <c r="P25" s="39"/>
      <c r="Q25" s="39"/>
      <c r="R25" s="39"/>
      <c r="S25" s="39"/>
    </row>
    <row r="26" spans="1:19">
      <c r="A26" s="39"/>
      <c r="B26" s="39"/>
      <c r="C26" s="39"/>
      <c r="D26" s="39"/>
      <c r="E26" s="39"/>
      <c r="F26" s="39"/>
      <c r="G26" s="39"/>
      <c r="H26" s="39"/>
      <c r="I26" s="39"/>
      <c r="J26" s="39" t="str">
        <f t="shared" si="3"/>
        <v/>
      </c>
      <c r="K26" s="39" t="str">
        <f t="shared" si="4"/>
        <v/>
      </c>
      <c r="L26" s="39" t="str">
        <f t="shared" si="2"/>
        <v/>
      </c>
      <c r="N26" s="39"/>
      <c r="O26" s="39"/>
      <c r="P26" s="39"/>
      <c r="Q26" s="39"/>
      <c r="R26" s="39"/>
      <c r="S26" s="39"/>
    </row>
    <row r="27" spans="1:19">
      <c r="A27" s="39"/>
      <c r="B27" s="39"/>
      <c r="C27" s="39"/>
      <c r="D27" s="39"/>
      <c r="E27" s="39"/>
      <c r="F27" s="39"/>
      <c r="G27" s="39"/>
      <c r="H27" s="39"/>
      <c r="I27" s="39"/>
      <c r="J27" s="39" t="str">
        <f t="shared" si="3"/>
        <v/>
      </c>
      <c r="K27" s="39" t="str">
        <f t="shared" si="4"/>
        <v/>
      </c>
      <c r="L27" s="39" t="str">
        <f t="shared" si="2"/>
        <v/>
      </c>
      <c r="N27" s="39"/>
      <c r="O27" s="39"/>
      <c r="P27" s="39"/>
      <c r="Q27" s="39"/>
      <c r="R27" s="39"/>
      <c r="S27" s="39"/>
    </row>
    <row r="28" spans="1:19">
      <c r="A28" s="39"/>
      <c r="B28" s="39"/>
      <c r="C28" s="39"/>
      <c r="D28" s="39"/>
      <c r="E28" s="39"/>
      <c r="F28" s="39"/>
      <c r="G28" s="39"/>
      <c r="H28" s="39"/>
      <c r="I28" s="39"/>
      <c r="J28" s="39" t="str">
        <f t="shared" si="3"/>
        <v/>
      </c>
      <c r="K28" s="39" t="str">
        <f t="shared" si="4"/>
        <v/>
      </c>
      <c r="L28" s="39" t="str">
        <f t="shared" si="2"/>
        <v/>
      </c>
      <c r="N28" s="39"/>
      <c r="O28" s="39"/>
      <c r="P28" s="39"/>
      <c r="Q28" s="39"/>
      <c r="R28" s="39"/>
      <c r="S28" s="39"/>
    </row>
    <row r="29" spans="1:19">
      <c r="A29" s="39"/>
      <c r="B29" s="39"/>
      <c r="C29" s="39"/>
      <c r="D29" s="39"/>
      <c r="E29" s="39"/>
      <c r="F29" s="39"/>
      <c r="G29" s="39"/>
      <c r="H29" s="39"/>
      <c r="I29" s="39"/>
      <c r="J29" s="39" t="str">
        <f t="shared" si="3"/>
        <v/>
      </c>
      <c r="K29" s="39" t="str">
        <f t="shared" si="4"/>
        <v/>
      </c>
      <c r="L29" s="39" t="str">
        <f t="shared" si="2"/>
        <v/>
      </c>
      <c r="N29" s="39"/>
      <c r="O29" s="39"/>
      <c r="P29" s="39"/>
      <c r="Q29" s="39"/>
      <c r="R29" s="39"/>
      <c r="S29" s="39"/>
    </row>
    <row r="30" spans="1:19">
      <c r="A30" s="39"/>
      <c r="B30" s="39"/>
      <c r="C30" s="39"/>
      <c r="D30" s="39"/>
      <c r="E30" s="39"/>
      <c r="F30" s="39"/>
      <c r="G30" s="39"/>
      <c r="H30" s="39"/>
      <c r="I30" s="39"/>
      <c r="J30" s="39" t="str">
        <f t="shared" si="3"/>
        <v/>
      </c>
      <c r="K30" s="39" t="str">
        <f t="shared" si="4"/>
        <v/>
      </c>
      <c r="L30" s="39" t="str">
        <f t="shared" si="2"/>
        <v/>
      </c>
      <c r="N30" s="39"/>
      <c r="O30" s="39"/>
      <c r="P30" s="39"/>
      <c r="Q30" s="39"/>
      <c r="R30" s="39"/>
      <c r="S30" s="39"/>
    </row>
    <row r="31" spans="1:19">
      <c r="A31" s="39"/>
      <c r="B31" s="39"/>
      <c r="C31" s="39"/>
      <c r="D31" s="39"/>
      <c r="E31" s="39"/>
      <c r="F31" s="39"/>
      <c r="G31" s="39"/>
      <c r="H31" s="39"/>
      <c r="I31" s="39"/>
      <c r="J31" s="39" t="str">
        <f t="shared" si="3"/>
        <v/>
      </c>
      <c r="K31" s="39" t="str">
        <f t="shared" si="4"/>
        <v/>
      </c>
      <c r="L31" s="39" t="str">
        <f t="shared" si="2"/>
        <v/>
      </c>
      <c r="N31" s="39"/>
      <c r="O31" s="39"/>
      <c r="P31" s="39"/>
      <c r="Q31" s="39"/>
      <c r="R31" s="39"/>
      <c r="S31" s="39"/>
    </row>
    <row r="32" spans="1:19">
      <c r="A32" s="39"/>
      <c r="B32" s="39"/>
      <c r="C32" s="39"/>
      <c r="D32" s="39"/>
      <c r="E32" s="39"/>
      <c r="F32" s="39"/>
      <c r="G32" s="39"/>
      <c r="H32" s="39"/>
      <c r="I32" s="39"/>
      <c r="J32" s="39" t="str">
        <f t="shared" si="3"/>
        <v/>
      </c>
      <c r="K32" s="39" t="str">
        <f t="shared" si="4"/>
        <v/>
      </c>
      <c r="L32" s="39" t="str">
        <f t="shared" si="2"/>
        <v/>
      </c>
      <c r="N32" s="39"/>
      <c r="O32" s="39"/>
      <c r="P32" s="39"/>
      <c r="Q32" s="39"/>
      <c r="R32" s="39"/>
      <c r="S32" s="39"/>
    </row>
    <row r="33" spans="1:19">
      <c r="A33" s="39"/>
      <c r="B33" s="39"/>
      <c r="C33" s="39"/>
      <c r="D33" s="39"/>
      <c r="E33" s="39"/>
      <c r="F33" s="39"/>
      <c r="G33" s="39"/>
      <c r="H33" s="39"/>
      <c r="I33" s="39"/>
      <c r="J33" s="39" t="str">
        <f t="shared" si="3"/>
        <v/>
      </c>
      <c r="K33" s="39" t="str">
        <f t="shared" si="4"/>
        <v/>
      </c>
      <c r="L33" s="39" t="str">
        <f t="shared" si="2"/>
        <v/>
      </c>
      <c r="N33" s="39"/>
      <c r="O33" s="39"/>
      <c r="P33" s="39"/>
      <c r="Q33" s="39"/>
      <c r="R33" s="39"/>
      <c r="S33" s="39"/>
    </row>
    <row r="34" spans="1:19">
      <c r="A34" s="39"/>
      <c r="B34" s="39"/>
      <c r="C34" s="39"/>
      <c r="D34" s="39"/>
      <c r="E34" s="39"/>
      <c r="F34" s="39"/>
      <c r="G34" s="39"/>
      <c r="H34" s="39"/>
      <c r="I34" s="39"/>
      <c r="J34" s="39" t="str">
        <f t="shared" si="3"/>
        <v/>
      </c>
      <c r="K34" s="39" t="str">
        <f t="shared" si="4"/>
        <v/>
      </c>
      <c r="L34" s="39" t="str">
        <f t="shared" si="2"/>
        <v/>
      </c>
      <c r="N34" s="39"/>
      <c r="O34" s="39"/>
      <c r="P34" s="39"/>
      <c r="Q34" s="39"/>
      <c r="R34" s="39"/>
      <c r="S34" s="39"/>
    </row>
    <row r="35" spans="1:19">
      <c r="A35" s="39"/>
      <c r="B35" s="39"/>
      <c r="C35" s="39"/>
      <c r="D35" s="39"/>
      <c r="E35" s="39"/>
      <c r="F35" s="39"/>
      <c r="G35" s="39"/>
      <c r="H35" s="39"/>
      <c r="I35" s="39"/>
      <c r="J35" s="39" t="str">
        <f t="shared" si="3"/>
        <v/>
      </c>
      <c r="K35" s="39" t="str">
        <f t="shared" si="4"/>
        <v/>
      </c>
      <c r="L35" s="39" t="str">
        <f t="shared" si="2"/>
        <v/>
      </c>
      <c r="N35" s="39"/>
      <c r="O35" s="39"/>
      <c r="P35" s="39"/>
      <c r="Q35" s="39"/>
      <c r="R35" s="39"/>
      <c r="S35" s="39"/>
    </row>
    <row r="36" spans="1:19">
      <c r="A36" s="39"/>
      <c r="B36" s="39"/>
      <c r="C36" s="39"/>
      <c r="D36" s="39"/>
      <c r="E36" s="39"/>
      <c r="F36" s="39"/>
      <c r="G36" s="39"/>
      <c r="H36" s="39"/>
      <c r="I36" s="39"/>
      <c r="J36" s="39" t="str">
        <f t="shared" si="3"/>
        <v/>
      </c>
      <c r="K36" s="39" t="str">
        <f t="shared" si="4"/>
        <v/>
      </c>
      <c r="L36" s="39" t="str">
        <f t="shared" si="2"/>
        <v/>
      </c>
      <c r="N36" s="39"/>
      <c r="O36" s="39"/>
      <c r="P36" s="39"/>
      <c r="Q36" s="39"/>
      <c r="R36" s="39"/>
      <c r="S36" s="39"/>
    </row>
    <row r="37" spans="1:19">
      <c r="A37" s="39"/>
      <c r="B37" s="39"/>
      <c r="C37" s="39"/>
      <c r="D37" s="39"/>
      <c r="E37" s="39"/>
      <c r="F37" s="39"/>
      <c r="G37" s="39"/>
      <c r="H37" s="39"/>
      <c r="I37" s="39"/>
      <c r="J37" s="39" t="str">
        <f t="shared" si="3"/>
        <v/>
      </c>
      <c r="K37" s="39" t="str">
        <f t="shared" si="4"/>
        <v/>
      </c>
      <c r="L37" s="39" t="str">
        <f t="shared" si="2"/>
        <v/>
      </c>
      <c r="N37" s="39"/>
      <c r="O37" s="39"/>
      <c r="P37" s="39"/>
      <c r="Q37" s="39"/>
      <c r="R37" s="39"/>
      <c r="S37" s="39"/>
    </row>
    <row r="38" spans="1:19">
      <c r="A38" s="39"/>
      <c r="B38" s="39"/>
      <c r="C38" s="39"/>
      <c r="D38" s="39"/>
      <c r="E38" s="39"/>
      <c r="F38" s="39"/>
      <c r="G38" s="39"/>
      <c r="H38" s="39"/>
      <c r="I38" s="39"/>
      <c r="J38" s="39" t="str">
        <f t="shared" si="3"/>
        <v/>
      </c>
      <c r="K38" s="39" t="str">
        <f t="shared" si="4"/>
        <v/>
      </c>
      <c r="L38" s="39" t="str">
        <f t="shared" si="2"/>
        <v/>
      </c>
      <c r="N38" s="39"/>
      <c r="O38" s="39"/>
      <c r="P38" s="39"/>
      <c r="Q38" s="39"/>
      <c r="R38" s="39"/>
      <c r="S38" s="39"/>
    </row>
    <row r="39" spans="1:19">
      <c r="A39" s="39"/>
      <c r="B39" s="39"/>
      <c r="C39" s="39"/>
      <c r="D39" s="39"/>
      <c r="E39" s="39"/>
      <c r="F39" s="39"/>
      <c r="G39" s="39"/>
      <c r="H39" s="39"/>
      <c r="I39" s="39"/>
      <c r="J39" s="39" t="str">
        <f t="shared" si="3"/>
        <v/>
      </c>
      <c r="K39" s="39" t="str">
        <f t="shared" si="4"/>
        <v/>
      </c>
      <c r="L39" s="39" t="str">
        <f t="shared" si="2"/>
        <v/>
      </c>
      <c r="N39" s="39"/>
      <c r="O39" s="39"/>
      <c r="P39" s="39"/>
      <c r="Q39" s="39"/>
      <c r="R39" s="39"/>
      <c r="S39" s="39"/>
    </row>
    <row r="40" spans="1:19">
      <c r="A40" s="39"/>
      <c r="B40" s="39"/>
      <c r="C40" s="39"/>
      <c r="D40" s="39"/>
      <c r="E40" s="39"/>
      <c r="F40" s="39"/>
      <c r="G40" s="39"/>
      <c r="H40" s="39"/>
      <c r="I40" s="39"/>
      <c r="J40" s="39" t="str">
        <f t="shared" si="3"/>
        <v/>
      </c>
      <c r="K40" s="39" t="str">
        <f t="shared" si="4"/>
        <v/>
      </c>
      <c r="L40" s="39" t="str">
        <f t="shared" si="2"/>
        <v/>
      </c>
    </row>
  </sheetData>
  <mergeCells count="3">
    <mergeCell ref="A2:L2"/>
    <mergeCell ref="A1:L1"/>
    <mergeCell ref="N5:S5"/>
  </mergeCells>
  <conditionalFormatting sqref="L6:L40">
    <cfRule type="expression" dxfId="3" priority="1">
      <formula>ISNUMBER(SEARCH("REPOR",L6))</formula>
    </cfRule>
  </conditionalFormatting>
  <dataValidations count="2">
    <dataValidation type="list" allowBlank="1" showErrorMessage="1" errorTitle="Valor inválido" error="Selecione um valor da lista." sqref="O7:O40" xr:uid="{00000000-0002-0000-0B00-000000000000}">
      <formula1>$B$6:$B$40</formula1>
    </dataValidation>
    <dataValidation type="list" allowBlank="1" showErrorMessage="1" errorTitle="Valor inválido" error="Selecione um valor da lista." sqref="P7:P40" xr:uid="{00000000-0002-0000-0B00-000001000000}">
      <formula1>"Entrada,Saída/Venda,Ajuste"</formula1>
    </dataValidation>
  </dataValidations>
  <pageMargins left="0.75" right="0.75" top="1" bottom="1" header="0.5" footer="0.5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>
    <tabColor rgb="FFA3001E"/>
  </sheetPr>
  <dimension ref="A1:I40"/>
  <sheetViews>
    <sheetView workbookViewId="0">
      <pane ySplit="5" topLeftCell="A6" activePane="bottomLeft" state="frozen"/>
      <selection pane="bottomLeft"/>
    </sheetView>
  </sheetViews>
  <sheetFormatPr defaultRowHeight="14.4"/>
  <cols>
    <col min="1" max="1" width="24" customWidth="1"/>
    <col min="2" max="5" width="12" customWidth="1"/>
    <col min="6" max="7" width="16" customWidth="1"/>
    <col min="8" max="8" width="14" customWidth="1"/>
    <col min="9" max="9" width="20" customWidth="1"/>
  </cols>
  <sheetData>
    <row r="1" spans="1:9" ht="36" customHeight="1">
      <c r="A1" s="122" t="s">
        <v>312</v>
      </c>
      <c r="B1" s="123"/>
      <c r="C1" s="123"/>
      <c r="D1" s="123"/>
      <c r="E1" s="123"/>
      <c r="F1" s="123"/>
      <c r="G1" s="123"/>
      <c r="H1" s="123"/>
      <c r="I1" s="123"/>
    </row>
    <row r="2" spans="1:9" ht="18" customHeight="1">
      <c r="A2" s="124" t="s">
        <v>313</v>
      </c>
      <c r="B2" s="125"/>
      <c r="C2" s="125"/>
      <c r="D2" s="125"/>
      <c r="E2" s="125"/>
      <c r="F2" s="125"/>
      <c r="G2" s="125"/>
      <c r="H2" s="125"/>
      <c r="I2" s="125"/>
    </row>
    <row r="5" spans="1:9" ht="28.8">
      <c r="A5" s="35" t="s">
        <v>314</v>
      </c>
      <c r="B5" s="35" t="s">
        <v>295</v>
      </c>
      <c r="C5" s="35" t="s">
        <v>315</v>
      </c>
      <c r="D5" s="35" t="s">
        <v>180</v>
      </c>
      <c r="E5" s="35" t="s">
        <v>316</v>
      </c>
      <c r="F5" s="35" t="s">
        <v>317</v>
      </c>
      <c r="G5" s="35" t="s">
        <v>318</v>
      </c>
      <c r="H5" s="35" t="s">
        <v>319</v>
      </c>
      <c r="I5" s="35" t="s">
        <v>320</v>
      </c>
    </row>
    <row r="6" spans="1:9">
      <c r="A6" s="39" t="s">
        <v>321</v>
      </c>
      <c r="B6" s="39">
        <v>2</v>
      </c>
      <c r="C6" s="49">
        <v>45000</v>
      </c>
      <c r="D6" s="48">
        <v>8500</v>
      </c>
      <c r="E6" s="49">
        <v>46096</v>
      </c>
      <c r="F6" s="49">
        <v>46143</v>
      </c>
      <c r="G6" s="39" t="str">
        <f t="shared" ref="G6:G40" ca="1" si="0">IF(F6="","",IF(F6&lt;TODAY(),"🔴 VENCIDA",IF(F6&lt;=TODAY()+30,"🟡 PRÓXIMA","🟢 EM DIA")))</f>
        <v>🔴 VENCIDA</v>
      </c>
      <c r="H6" s="39">
        <f t="shared" ref="H6:H40" ca="1" si="1">IF(F6="","",F6-TODAY())</f>
        <v>-82</v>
      </c>
      <c r="I6" s="39"/>
    </row>
    <row r="7" spans="1:9">
      <c r="A7" s="39" t="s">
        <v>322</v>
      </c>
      <c r="B7" s="39">
        <v>3</v>
      </c>
      <c r="C7" s="49">
        <v>45026</v>
      </c>
      <c r="D7" s="48">
        <v>2200</v>
      </c>
      <c r="E7" s="49">
        <v>46122</v>
      </c>
      <c r="F7" s="49">
        <v>46235</v>
      </c>
      <c r="G7" s="39" t="str">
        <f t="shared" ca="1" si="0"/>
        <v>🟡 PRÓXIMA</v>
      </c>
      <c r="H7" s="39">
        <f t="shared" ca="1" si="1"/>
        <v>10</v>
      </c>
      <c r="I7" s="39"/>
    </row>
    <row r="8" spans="1:9">
      <c r="A8" s="39" t="s">
        <v>323</v>
      </c>
      <c r="B8" s="39">
        <v>4</v>
      </c>
      <c r="C8" s="49">
        <v>45311</v>
      </c>
      <c r="D8" s="48">
        <v>12000</v>
      </c>
      <c r="E8" s="49">
        <v>46407</v>
      </c>
      <c r="F8" s="49">
        <v>46127</v>
      </c>
      <c r="G8" s="39" t="str">
        <f t="shared" ca="1" si="0"/>
        <v>🔴 VENCIDA</v>
      </c>
      <c r="H8" s="39">
        <f t="shared" ca="1" si="1"/>
        <v>-98</v>
      </c>
      <c r="I8" s="39"/>
    </row>
    <row r="9" spans="1:9">
      <c r="A9" s="39" t="s">
        <v>324</v>
      </c>
      <c r="B9" s="39">
        <v>3</v>
      </c>
      <c r="C9" s="49">
        <v>45327</v>
      </c>
      <c r="D9" s="48">
        <v>4500</v>
      </c>
      <c r="E9" s="49">
        <v>46423</v>
      </c>
      <c r="F9" s="49">
        <v>46266</v>
      </c>
      <c r="G9" s="39" t="str">
        <f t="shared" ca="1" si="0"/>
        <v>🟢 EM DIA</v>
      </c>
      <c r="H9" s="39">
        <f t="shared" ca="1" si="1"/>
        <v>41</v>
      </c>
      <c r="I9" s="39"/>
    </row>
    <row r="10" spans="1:9">
      <c r="A10" s="39" t="s">
        <v>325</v>
      </c>
      <c r="B10" s="39">
        <v>1</v>
      </c>
      <c r="C10" s="49">
        <v>45078</v>
      </c>
      <c r="D10" s="48">
        <v>9800</v>
      </c>
      <c r="E10" s="49">
        <v>46174</v>
      </c>
      <c r="F10" s="49">
        <v>46082</v>
      </c>
      <c r="G10" s="39" t="str">
        <f t="shared" ca="1" si="0"/>
        <v>🔴 VENCIDA</v>
      </c>
      <c r="H10" s="39">
        <f t="shared" ca="1" si="1"/>
        <v>-143</v>
      </c>
      <c r="I10" s="39"/>
    </row>
    <row r="11" spans="1:9">
      <c r="A11" s="39" t="s">
        <v>326</v>
      </c>
      <c r="B11" s="39">
        <v>2</v>
      </c>
      <c r="C11" s="49">
        <v>45150</v>
      </c>
      <c r="D11" s="48">
        <v>3100</v>
      </c>
      <c r="E11" s="49">
        <v>46246</v>
      </c>
      <c r="F11" s="49">
        <v>46296</v>
      </c>
      <c r="G11" s="39" t="str">
        <f t="shared" ca="1" si="0"/>
        <v>🟢 EM DIA</v>
      </c>
      <c r="H11" s="39">
        <f t="shared" ca="1" si="1"/>
        <v>71</v>
      </c>
      <c r="I11" s="39"/>
    </row>
    <row r="12" spans="1:9">
      <c r="A12" s="39" t="s">
        <v>327</v>
      </c>
      <c r="B12" s="39">
        <v>2</v>
      </c>
      <c r="C12" s="49">
        <v>45170</v>
      </c>
      <c r="D12" s="48">
        <v>2800</v>
      </c>
      <c r="E12" s="49">
        <v>46266</v>
      </c>
      <c r="F12" s="49">
        <v>46204</v>
      </c>
      <c r="G12" s="39" t="str">
        <f t="shared" ca="1" si="0"/>
        <v>🔴 VENCIDA</v>
      </c>
      <c r="H12" s="39">
        <f t="shared" ca="1" si="1"/>
        <v>-21</v>
      </c>
      <c r="I12" s="39"/>
    </row>
    <row r="13" spans="1:9">
      <c r="A13" s="39" t="s">
        <v>328</v>
      </c>
      <c r="B13" s="39">
        <v>1</v>
      </c>
      <c r="C13" s="49">
        <v>44875</v>
      </c>
      <c r="D13" s="48">
        <v>15000</v>
      </c>
      <c r="E13" s="49">
        <v>46701</v>
      </c>
      <c r="F13" s="49">
        <v>46357</v>
      </c>
      <c r="G13" s="39" t="str">
        <f t="shared" ca="1" si="0"/>
        <v>🟢 EM DIA</v>
      </c>
      <c r="H13" s="39">
        <f t="shared" ca="1" si="1"/>
        <v>132</v>
      </c>
      <c r="I13" s="39"/>
    </row>
    <row r="14" spans="1:9">
      <c r="A14" s="39"/>
      <c r="B14" s="39"/>
      <c r="C14" s="39"/>
      <c r="D14" s="39"/>
      <c r="E14" s="39"/>
      <c r="F14" s="39"/>
      <c r="G14" s="39" t="str">
        <f t="shared" ca="1" si="0"/>
        <v/>
      </c>
      <c r="H14" s="39" t="str">
        <f t="shared" ca="1" si="1"/>
        <v/>
      </c>
      <c r="I14" s="39"/>
    </row>
    <row r="15" spans="1:9">
      <c r="A15" s="39"/>
      <c r="B15" s="39"/>
      <c r="C15" s="39"/>
      <c r="D15" s="39"/>
      <c r="E15" s="39"/>
      <c r="F15" s="39"/>
      <c r="G15" s="39" t="str">
        <f t="shared" ca="1" si="0"/>
        <v/>
      </c>
      <c r="H15" s="39" t="str">
        <f t="shared" ca="1" si="1"/>
        <v/>
      </c>
      <c r="I15" s="39"/>
    </row>
    <row r="16" spans="1:9">
      <c r="A16" s="39"/>
      <c r="B16" s="39"/>
      <c r="C16" s="39"/>
      <c r="D16" s="39"/>
      <c r="E16" s="39"/>
      <c r="F16" s="39"/>
      <c r="G16" s="39" t="str">
        <f t="shared" ca="1" si="0"/>
        <v/>
      </c>
      <c r="H16" s="39" t="str">
        <f t="shared" ca="1" si="1"/>
        <v/>
      </c>
      <c r="I16" s="39"/>
    </row>
    <row r="17" spans="1:9">
      <c r="A17" s="39"/>
      <c r="B17" s="39"/>
      <c r="C17" s="39"/>
      <c r="D17" s="39"/>
      <c r="E17" s="39"/>
      <c r="F17" s="39"/>
      <c r="G17" s="39" t="str">
        <f t="shared" ca="1" si="0"/>
        <v/>
      </c>
      <c r="H17" s="39" t="str">
        <f t="shared" ca="1" si="1"/>
        <v/>
      </c>
      <c r="I17" s="39"/>
    </row>
    <row r="18" spans="1:9">
      <c r="A18" s="39"/>
      <c r="B18" s="39"/>
      <c r="C18" s="39"/>
      <c r="D18" s="39"/>
      <c r="E18" s="39"/>
      <c r="F18" s="39"/>
      <c r="G18" s="39" t="str">
        <f t="shared" ca="1" si="0"/>
        <v/>
      </c>
      <c r="H18" s="39" t="str">
        <f t="shared" ca="1" si="1"/>
        <v/>
      </c>
      <c r="I18" s="39"/>
    </row>
    <row r="19" spans="1:9">
      <c r="A19" s="39"/>
      <c r="B19" s="39"/>
      <c r="C19" s="39"/>
      <c r="D19" s="39"/>
      <c r="E19" s="39"/>
      <c r="F19" s="39"/>
      <c r="G19" s="39" t="str">
        <f t="shared" ca="1" si="0"/>
        <v/>
      </c>
      <c r="H19" s="39" t="str">
        <f t="shared" ca="1" si="1"/>
        <v/>
      </c>
      <c r="I19" s="39"/>
    </row>
    <row r="20" spans="1:9">
      <c r="A20" s="39"/>
      <c r="B20" s="39"/>
      <c r="C20" s="39"/>
      <c r="D20" s="39"/>
      <c r="E20" s="39"/>
      <c r="F20" s="39"/>
      <c r="G20" s="39" t="str">
        <f t="shared" ca="1" si="0"/>
        <v/>
      </c>
      <c r="H20" s="39" t="str">
        <f t="shared" ca="1" si="1"/>
        <v/>
      </c>
      <c r="I20" s="39"/>
    </row>
    <row r="21" spans="1:9">
      <c r="A21" s="39"/>
      <c r="B21" s="39"/>
      <c r="C21" s="39"/>
      <c r="D21" s="39"/>
      <c r="E21" s="39"/>
      <c r="F21" s="39"/>
      <c r="G21" s="39" t="str">
        <f t="shared" ca="1" si="0"/>
        <v/>
      </c>
      <c r="H21" s="39" t="str">
        <f t="shared" ca="1" si="1"/>
        <v/>
      </c>
      <c r="I21" s="39"/>
    </row>
    <row r="22" spans="1:9">
      <c r="A22" s="39"/>
      <c r="B22" s="39"/>
      <c r="C22" s="39"/>
      <c r="D22" s="39"/>
      <c r="E22" s="39"/>
      <c r="F22" s="39"/>
      <c r="G22" s="39" t="str">
        <f t="shared" ca="1" si="0"/>
        <v/>
      </c>
      <c r="H22" s="39" t="str">
        <f t="shared" ca="1" si="1"/>
        <v/>
      </c>
      <c r="I22" s="39"/>
    </row>
    <row r="23" spans="1:9">
      <c r="A23" s="39"/>
      <c r="B23" s="39"/>
      <c r="C23" s="39"/>
      <c r="D23" s="39"/>
      <c r="E23" s="39"/>
      <c r="F23" s="39"/>
      <c r="G23" s="39" t="str">
        <f t="shared" ca="1" si="0"/>
        <v/>
      </c>
      <c r="H23" s="39" t="str">
        <f t="shared" ca="1" si="1"/>
        <v/>
      </c>
      <c r="I23" s="39"/>
    </row>
    <row r="24" spans="1:9">
      <c r="A24" s="39"/>
      <c r="B24" s="39"/>
      <c r="C24" s="39"/>
      <c r="D24" s="39"/>
      <c r="E24" s="39"/>
      <c r="F24" s="39"/>
      <c r="G24" s="39" t="str">
        <f t="shared" ca="1" si="0"/>
        <v/>
      </c>
      <c r="H24" s="39" t="str">
        <f t="shared" ca="1" si="1"/>
        <v/>
      </c>
      <c r="I24" s="39"/>
    </row>
    <row r="25" spans="1:9">
      <c r="A25" s="39"/>
      <c r="B25" s="39"/>
      <c r="C25" s="39"/>
      <c r="D25" s="39"/>
      <c r="E25" s="39"/>
      <c r="F25" s="39"/>
      <c r="G25" s="39" t="str">
        <f t="shared" ca="1" si="0"/>
        <v/>
      </c>
      <c r="H25" s="39" t="str">
        <f t="shared" ca="1" si="1"/>
        <v/>
      </c>
      <c r="I25" s="39"/>
    </row>
    <row r="26" spans="1:9">
      <c r="A26" s="39"/>
      <c r="B26" s="39"/>
      <c r="C26" s="39"/>
      <c r="D26" s="39"/>
      <c r="E26" s="39"/>
      <c r="F26" s="39"/>
      <c r="G26" s="39" t="str">
        <f t="shared" ca="1" si="0"/>
        <v/>
      </c>
      <c r="H26" s="39" t="str">
        <f t="shared" ca="1" si="1"/>
        <v/>
      </c>
      <c r="I26" s="39"/>
    </row>
    <row r="27" spans="1:9">
      <c r="A27" s="39"/>
      <c r="B27" s="39"/>
      <c r="C27" s="39"/>
      <c r="D27" s="39"/>
      <c r="E27" s="39"/>
      <c r="F27" s="39"/>
      <c r="G27" s="39" t="str">
        <f t="shared" ca="1" si="0"/>
        <v/>
      </c>
      <c r="H27" s="39" t="str">
        <f t="shared" ca="1" si="1"/>
        <v/>
      </c>
      <c r="I27" s="39"/>
    </row>
    <row r="28" spans="1:9">
      <c r="A28" s="39"/>
      <c r="B28" s="39"/>
      <c r="C28" s="39"/>
      <c r="D28" s="39"/>
      <c r="E28" s="39"/>
      <c r="F28" s="39"/>
      <c r="G28" s="39" t="str">
        <f t="shared" ca="1" si="0"/>
        <v/>
      </c>
      <c r="H28" s="39" t="str">
        <f t="shared" ca="1" si="1"/>
        <v/>
      </c>
      <c r="I28" s="39"/>
    </row>
    <row r="29" spans="1:9">
      <c r="A29" s="39"/>
      <c r="B29" s="39"/>
      <c r="C29" s="39"/>
      <c r="D29" s="39"/>
      <c r="E29" s="39"/>
      <c r="F29" s="39"/>
      <c r="G29" s="39" t="str">
        <f t="shared" ca="1" si="0"/>
        <v/>
      </c>
      <c r="H29" s="39" t="str">
        <f t="shared" ca="1" si="1"/>
        <v/>
      </c>
      <c r="I29" s="39"/>
    </row>
    <row r="30" spans="1:9">
      <c r="A30" s="39"/>
      <c r="B30" s="39"/>
      <c r="C30" s="39"/>
      <c r="D30" s="39"/>
      <c r="E30" s="39"/>
      <c r="F30" s="39"/>
      <c r="G30" s="39" t="str">
        <f t="shared" ca="1" si="0"/>
        <v/>
      </c>
      <c r="H30" s="39" t="str">
        <f t="shared" ca="1" si="1"/>
        <v/>
      </c>
      <c r="I30" s="39"/>
    </row>
    <row r="31" spans="1:9">
      <c r="A31" s="39"/>
      <c r="B31" s="39"/>
      <c r="C31" s="39"/>
      <c r="D31" s="39"/>
      <c r="E31" s="39"/>
      <c r="F31" s="39"/>
      <c r="G31" s="39" t="str">
        <f t="shared" ca="1" si="0"/>
        <v/>
      </c>
      <c r="H31" s="39" t="str">
        <f t="shared" ca="1" si="1"/>
        <v/>
      </c>
      <c r="I31" s="39"/>
    </row>
    <row r="32" spans="1:9">
      <c r="A32" s="39"/>
      <c r="B32" s="39"/>
      <c r="C32" s="39"/>
      <c r="D32" s="39"/>
      <c r="E32" s="39"/>
      <c r="F32" s="39"/>
      <c r="G32" s="39" t="str">
        <f t="shared" ca="1" si="0"/>
        <v/>
      </c>
      <c r="H32" s="39" t="str">
        <f t="shared" ca="1" si="1"/>
        <v/>
      </c>
      <c r="I32" s="39"/>
    </row>
    <row r="33" spans="1:9">
      <c r="A33" s="39"/>
      <c r="B33" s="39"/>
      <c r="C33" s="39"/>
      <c r="D33" s="39"/>
      <c r="E33" s="39"/>
      <c r="F33" s="39"/>
      <c r="G33" s="39" t="str">
        <f t="shared" ca="1" si="0"/>
        <v/>
      </c>
      <c r="H33" s="39" t="str">
        <f t="shared" ca="1" si="1"/>
        <v/>
      </c>
      <c r="I33" s="39"/>
    </row>
    <row r="34" spans="1:9">
      <c r="A34" s="39"/>
      <c r="B34" s="39"/>
      <c r="C34" s="39"/>
      <c r="D34" s="39"/>
      <c r="E34" s="39"/>
      <c r="F34" s="39"/>
      <c r="G34" s="39" t="str">
        <f t="shared" ca="1" si="0"/>
        <v/>
      </c>
      <c r="H34" s="39" t="str">
        <f t="shared" ca="1" si="1"/>
        <v/>
      </c>
      <c r="I34" s="39"/>
    </row>
    <row r="35" spans="1:9">
      <c r="A35" s="39"/>
      <c r="B35" s="39"/>
      <c r="C35" s="39"/>
      <c r="D35" s="39"/>
      <c r="E35" s="39"/>
      <c r="F35" s="39"/>
      <c r="G35" s="39" t="str">
        <f t="shared" ca="1" si="0"/>
        <v/>
      </c>
      <c r="H35" s="39" t="str">
        <f t="shared" ca="1" si="1"/>
        <v/>
      </c>
      <c r="I35" s="39"/>
    </row>
    <row r="36" spans="1:9">
      <c r="A36" s="39"/>
      <c r="B36" s="39"/>
      <c r="C36" s="39"/>
      <c r="D36" s="39"/>
      <c r="E36" s="39"/>
      <c r="F36" s="39"/>
      <c r="G36" s="39" t="str">
        <f t="shared" ca="1" si="0"/>
        <v/>
      </c>
      <c r="H36" s="39" t="str">
        <f t="shared" ca="1" si="1"/>
        <v/>
      </c>
      <c r="I36" s="39"/>
    </row>
    <row r="37" spans="1:9">
      <c r="A37" s="39"/>
      <c r="B37" s="39"/>
      <c r="C37" s="39"/>
      <c r="D37" s="39"/>
      <c r="E37" s="39"/>
      <c r="F37" s="39"/>
      <c r="G37" s="39" t="str">
        <f t="shared" ca="1" si="0"/>
        <v/>
      </c>
      <c r="H37" s="39" t="str">
        <f t="shared" ca="1" si="1"/>
        <v/>
      </c>
      <c r="I37" s="39"/>
    </row>
    <row r="38" spans="1:9">
      <c r="A38" s="39"/>
      <c r="B38" s="39"/>
      <c r="C38" s="39"/>
      <c r="D38" s="39"/>
      <c r="E38" s="39"/>
      <c r="F38" s="39"/>
      <c r="G38" s="39" t="str">
        <f t="shared" ca="1" si="0"/>
        <v/>
      </c>
      <c r="H38" s="39" t="str">
        <f t="shared" ca="1" si="1"/>
        <v/>
      </c>
      <c r="I38" s="39"/>
    </row>
    <row r="39" spans="1:9">
      <c r="A39" s="39"/>
      <c r="B39" s="39"/>
      <c r="C39" s="39"/>
      <c r="D39" s="39"/>
      <c r="E39" s="39"/>
      <c r="F39" s="39"/>
      <c r="G39" s="39" t="str">
        <f t="shared" ca="1" si="0"/>
        <v/>
      </c>
      <c r="H39" s="39" t="str">
        <f t="shared" ca="1" si="1"/>
        <v/>
      </c>
      <c r="I39" s="39"/>
    </row>
    <row r="40" spans="1:9">
      <c r="A40" s="39"/>
      <c r="B40" s="39"/>
      <c r="C40" s="39"/>
      <c r="D40" s="39"/>
      <c r="E40" s="39"/>
      <c r="F40" s="39"/>
      <c r="G40" s="39" t="str">
        <f t="shared" ca="1" si="0"/>
        <v/>
      </c>
      <c r="H40" s="39" t="str">
        <f t="shared" ca="1" si="1"/>
        <v/>
      </c>
      <c r="I40" s="39"/>
    </row>
  </sheetData>
  <mergeCells count="2">
    <mergeCell ref="A1:I1"/>
    <mergeCell ref="A2:I2"/>
  </mergeCells>
  <conditionalFormatting sqref="A6:I40">
    <cfRule type="expression" dxfId="2" priority="3">
      <formula>ISNUMBER(SEARCH("VENCIDA",$G6))</formula>
    </cfRule>
  </conditionalFormatting>
  <conditionalFormatting sqref="G6:G40">
    <cfRule type="expression" dxfId="1" priority="1">
      <formula>ISNUMBER(SEARCH("VENCIDA",G6))</formula>
    </cfRule>
    <cfRule type="expression" dxfId="0" priority="2">
      <formula>ISNUMBER(SEARCH("PRÓXIMA",G6))</formula>
    </cfRule>
  </conditionalFormatting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>
    <tabColor rgb="FFA3001E"/>
  </sheetPr>
  <dimension ref="A1:N50"/>
  <sheetViews>
    <sheetView workbookViewId="0">
      <pane ySplit="5" topLeftCell="A6" activePane="bottomLeft" state="frozen"/>
      <selection pane="bottomLeft"/>
    </sheetView>
  </sheetViews>
  <sheetFormatPr defaultRowHeight="14.4"/>
  <cols>
    <col min="1" max="1" width="24" customWidth="1"/>
    <col min="2" max="2" width="12" customWidth="1"/>
    <col min="3" max="4" width="10" customWidth="1"/>
    <col min="5" max="5" width="8" customWidth="1"/>
    <col min="6" max="6" width="10" customWidth="1"/>
    <col min="7" max="7" width="12" customWidth="1"/>
    <col min="8" max="8" width="18" customWidth="1"/>
    <col min="9" max="9" width="22" customWidth="1"/>
    <col min="10" max="10" width="14" customWidth="1"/>
    <col min="12" max="12" width="12" customWidth="1"/>
    <col min="13" max="14" width="10" customWidth="1"/>
  </cols>
  <sheetData>
    <row r="1" spans="1:14" ht="36" customHeight="1">
      <c r="A1" s="122" t="s">
        <v>329</v>
      </c>
      <c r="B1" s="123"/>
      <c r="C1" s="123"/>
      <c r="D1" s="123"/>
      <c r="E1" s="123"/>
      <c r="F1" s="123"/>
      <c r="G1" s="123"/>
      <c r="H1" s="123"/>
      <c r="I1" s="123"/>
      <c r="J1" s="123"/>
    </row>
    <row r="2" spans="1:14" ht="18" customHeight="1">
      <c r="A2" s="124" t="s">
        <v>330</v>
      </c>
      <c r="B2" s="125"/>
      <c r="C2" s="125"/>
      <c r="D2" s="125"/>
      <c r="E2" s="125"/>
      <c r="F2" s="125"/>
      <c r="G2" s="125"/>
      <c r="H2" s="125"/>
      <c r="I2" s="125"/>
      <c r="J2" s="125"/>
    </row>
    <row r="5" spans="1:14" ht="28.8">
      <c r="A5" s="35" t="s">
        <v>177</v>
      </c>
      <c r="B5" s="35" t="s">
        <v>217</v>
      </c>
      <c r="C5" s="35" t="s">
        <v>331</v>
      </c>
      <c r="D5" s="35" t="s">
        <v>332</v>
      </c>
      <c r="E5" s="35" t="s">
        <v>333</v>
      </c>
      <c r="F5" s="35" t="s">
        <v>334</v>
      </c>
      <c r="G5" s="35" t="s">
        <v>335</v>
      </c>
      <c r="H5" s="35" t="s">
        <v>76</v>
      </c>
      <c r="I5" s="35" t="s">
        <v>320</v>
      </c>
      <c r="J5" s="35" t="s">
        <v>336</v>
      </c>
      <c r="L5" s="52" t="s">
        <v>337</v>
      </c>
    </row>
    <row r="6" spans="1:14">
      <c r="A6" s="39" t="s">
        <v>108</v>
      </c>
      <c r="B6" s="49">
        <v>46032</v>
      </c>
      <c r="C6" s="39">
        <v>68.5</v>
      </c>
      <c r="D6" s="39">
        <v>1.68</v>
      </c>
      <c r="E6" s="55">
        <f t="shared" ref="E6:E50" si="0">IF(OR(C6="",D6=""),"",C6/(D6^2))</f>
        <v>24.270124716553291</v>
      </c>
      <c r="F6" s="39">
        <v>24.2</v>
      </c>
      <c r="G6" s="39">
        <v>48.5</v>
      </c>
      <c r="H6" s="39" t="s">
        <v>152</v>
      </c>
      <c r="I6" s="39" t="s">
        <v>338</v>
      </c>
      <c r="J6" s="39" t="str">
        <f t="shared" ref="J6:J50" si="1">IF(E6="","",IF(E6&lt;18.5,"Abaixo",IF(E6&lt;25,"Normal",IF(E6&lt;30,"Sobrepeso","Obesidade"))))</f>
        <v>Normal</v>
      </c>
      <c r="L6" s="56" t="s">
        <v>217</v>
      </c>
      <c r="M6" s="56" t="s">
        <v>15</v>
      </c>
      <c r="N6" s="56" t="s">
        <v>333</v>
      </c>
    </row>
    <row r="7" spans="1:14">
      <c r="A7" s="39" t="s">
        <v>108</v>
      </c>
      <c r="B7" s="49">
        <v>46122</v>
      </c>
      <c r="C7" s="39">
        <v>66.2</v>
      </c>
      <c r="D7" s="39">
        <v>1.68</v>
      </c>
      <c r="E7" s="55">
        <f t="shared" si="0"/>
        <v>23.455215419501137</v>
      </c>
      <c r="F7" s="39">
        <v>22.8</v>
      </c>
      <c r="G7" s="39">
        <v>50.1</v>
      </c>
      <c r="H7" s="39" t="s">
        <v>152</v>
      </c>
      <c r="I7" s="39" t="s">
        <v>339</v>
      </c>
      <c r="J7" s="39" t="str">
        <f t="shared" si="1"/>
        <v>Normal</v>
      </c>
      <c r="L7" s="57">
        <v>46032</v>
      </c>
      <c r="M7">
        <v>68.5</v>
      </c>
      <c r="N7">
        <v>24.2</v>
      </c>
    </row>
    <row r="8" spans="1:14">
      <c r="A8" s="39" t="s">
        <v>122</v>
      </c>
      <c r="B8" s="49">
        <v>46058</v>
      </c>
      <c r="C8" s="39">
        <v>82</v>
      </c>
      <c r="D8" s="39">
        <v>1.78</v>
      </c>
      <c r="E8" s="55">
        <f t="shared" si="0"/>
        <v>25.880570635020831</v>
      </c>
      <c r="F8" s="39">
        <v>18.5</v>
      </c>
      <c r="G8" s="39">
        <v>66</v>
      </c>
      <c r="H8" s="39" t="s">
        <v>152</v>
      </c>
      <c r="I8" s="39" t="s">
        <v>340</v>
      </c>
      <c r="J8" s="39" t="str">
        <f t="shared" si="1"/>
        <v>Sobrepeso</v>
      </c>
      <c r="L8" s="57">
        <v>46122</v>
      </c>
      <c r="M8">
        <v>66.2</v>
      </c>
      <c r="N8">
        <v>22.8</v>
      </c>
    </row>
    <row r="9" spans="1:14">
      <c r="A9" s="39" t="s">
        <v>131</v>
      </c>
      <c r="B9" s="49">
        <v>46082</v>
      </c>
      <c r="C9" s="39">
        <v>59</v>
      </c>
      <c r="D9" s="39">
        <v>1.62</v>
      </c>
      <c r="E9" s="55">
        <f t="shared" si="0"/>
        <v>22.481329065691202</v>
      </c>
      <c r="F9" s="39">
        <v>26</v>
      </c>
      <c r="G9" s="39">
        <v>42</v>
      </c>
      <c r="H9" s="39" t="s">
        <v>152</v>
      </c>
      <c r="I9" s="39" t="s">
        <v>341</v>
      </c>
      <c r="J9" s="39" t="str">
        <f t="shared" si="1"/>
        <v>Normal</v>
      </c>
    </row>
    <row r="10" spans="1:14">
      <c r="A10" s="39" t="s">
        <v>154</v>
      </c>
      <c r="B10" s="49">
        <v>46047</v>
      </c>
      <c r="C10" s="39">
        <v>90.5</v>
      </c>
      <c r="D10" s="39">
        <v>1.8</v>
      </c>
      <c r="E10" s="55">
        <f t="shared" si="0"/>
        <v>27.932098765432098</v>
      </c>
      <c r="F10" s="39">
        <v>16</v>
      </c>
      <c r="G10" s="39">
        <v>74</v>
      </c>
      <c r="H10" s="39" t="s">
        <v>137</v>
      </c>
      <c r="I10" s="39" t="s">
        <v>342</v>
      </c>
      <c r="J10" s="39" t="str">
        <f t="shared" si="1"/>
        <v>Sobrepeso</v>
      </c>
    </row>
    <row r="11" spans="1:14">
      <c r="A11" s="39" t="s">
        <v>147</v>
      </c>
      <c r="B11" s="49">
        <v>46089</v>
      </c>
      <c r="C11" s="39">
        <v>71</v>
      </c>
      <c r="D11" s="39">
        <v>1.7</v>
      </c>
      <c r="E11" s="55">
        <f t="shared" si="0"/>
        <v>24.567474048442911</v>
      </c>
      <c r="F11" s="39">
        <v>27.5</v>
      </c>
      <c r="G11" s="39">
        <v>49</v>
      </c>
      <c r="H11" s="39" t="s">
        <v>152</v>
      </c>
      <c r="I11" s="39" t="s">
        <v>343</v>
      </c>
      <c r="J11" s="39" t="str">
        <f t="shared" si="1"/>
        <v>Normal</v>
      </c>
    </row>
    <row r="12" spans="1:14">
      <c r="A12" s="39"/>
      <c r="B12" s="39"/>
      <c r="C12" s="39"/>
      <c r="D12" s="39"/>
      <c r="E12" s="55" t="str">
        <f t="shared" si="0"/>
        <v/>
      </c>
      <c r="F12" s="39"/>
      <c r="G12" s="39"/>
      <c r="H12" s="39"/>
      <c r="I12" s="39"/>
      <c r="J12" s="39" t="str">
        <f t="shared" si="1"/>
        <v/>
      </c>
    </row>
    <row r="13" spans="1:14">
      <c r="A13" s="39"/>
      <c r="B13" s="39"/>
      <c r="C13" s="39"/>
      <c r="D13" s="39"/>
      <c r="E13" s="55" t="str">
        <f t="shared" si="0"/>
        <v/>
      </c>
      <c r="F13" s="39"/>
      <c r="G13" s="39"/>
      <c r="H13" s="39"/>
      <c r="I13" s="39"/>
      <c r="J13" s="39" t="str">
        <f t="shared" si="1"/>
        <v/>
      </c>
    </row>
    <row r="14" spans="1:14">
      <c r="A14" s="39"/>
      <c r="B14" s="39"/>
      <c r="C14" s="39"/>
      <c r="D14" s="39"/>
      <c r="E14" s="55" t="str">
        <f t="shared" si="0"/>
        <v/>
      </c>
      <c r="F14" s="39"/>
      <c r="G14" s="39"/>
      <c r="H14" s="39"/>
      <c r="I14" s="39"/>
      <c r="J14" s="39" t="str">
        <f t="shared" si="1"/>
        <v/>
      </c>
    </row>
    <row r="15" spans="1:14">
      <c r="A15" s="39"/>
      <c r="B15" s="39"/>
      <c r="C15" s="39"/>
      <c r="D15" s="39"/>
      <c r="E15" s="55" t="str">
        <f t="shared" si="0"/>
        <v/>
      </c>
      <c r="F15" s="39"/>
      <c r="G15" s="39"/>
      <c r="H15" s="39"/>
      <c r="I15" s="39"/>
      <c r="J15" s="39" t="str">
        <f t="shared" si="1"/>
        <v/>
      </c>
    </row>
    <row r="16" spans="1:14">
      <c r="A16" s="39"/>
      <c r="B16" s="39"/>
      <c r="C16" s="39"/>
      <c r="D16" s="39"/>
      <c r="E16" s="55" t="str">
        <f t="shared" si="0"/>
        <v/>
      </c>
      <c r="F16" s="39"/>
      <c r="G16" s="39"/>
      <c r="H16" s="39"/>
      <c r="I16" s="39"/>
      <c r="J16" s="39" t="str">
        <f t="shared" si="1"/>
        <v/>
      </c>
    </row>
    <row r="17" spans="1:10">
      <c r="A17" s="39"/>
      <c r="B17" s="39"/>
      <c r="C17" s="39"/>
      <c r="D17" s="39"/>
      <c r="E17" s="55" t="str">
        <f t="shared" si="0"/>
        <v/>
      </c>
      <c r="F17" s="39"/>
      <c r="G17" s="39"/>
      <c r="H17" s="39"/>
      <c r="I17" s="39"/>
      <c r="J17" s="39" t="str">
        <f t="shared" si="1"/>
        <v/>
      </c>
    </row>
    <row r="18" spans="1:10">
      <c r="A18" s="39"/>
      <c r="B18" s="39"/>
      <c r="C18" s="39"/>
      <c r="D18" s="39"/>
      <c r="E18" s="55" t="str">
        <f t="shared" si="0"/>
        <v/>
      </c>
      <c r="F18" s="39"/>
      <c r="G18" s="39"/>
      <c r="H18" s="39"/>
      <c r="I18" s="39"/>
      <c r="J18" s="39" t="str">
        <f t="shared" si="1"/>
        <v/>
      </c>
    </row>
    <row r="19" spans="1:10">
      <c r="A19" s="39"/>
      <c r="B19" s="39"/>
      <c r="C19" s="39"/>
      <c r="D19" s="39"/>
      <c r="E19" s="55" t="str">
        <f t="shared" si="0"/>
        <v/>
      </c>
      <c r="F19" s="39"/>
      <c r="G19" s="39"/>
      <c r="H19" s="39"/>
      <c r="I19" s="39"/>
      <c r="J19" s="39" t="str">
        <f t="shared" si="1"/>
        <v/>
      </c>
    </row>
    <row r="20" spans="1:10">
      <c r="A20" s="39"/>
      <c r="B20" s="39"/>
      <c r="C20" s="39"/>
      <c r="D20" s="39"/>
      <c r="E20" s="55" t="str">
        <f t="shared" si="0"/>
        <v/>
      </c>
      <c r="F20" s="39"/>
      <c r="G20" s="39"/>
      <c r="H20" s="39"/>
      <c r="I20" s="39"/>
      <c r="J20" s="39" t="str">
        <f t="shared" si="1"/>
        <v/>
      </c>
    </row>
    <row r="21" spans="1:10">
      <c r="A21" s="39"/>
      <c r="B21" s="39"/>
      <c r="C21" s="39"/>
      <c r="D21" s="39"/>
      <c r="E21" s="55" t="str">
        <f t="shared" si="0"/>
        <v/>
      </c>
      <c r="F21" s="39"/>
      <c r="G21" s="39"/>
      <c r="H21" s="39"/>
      <c r="I21" s="39"/>
      <c r="J21" s="39" t="str">
        <f t="shared" si="1"/>
        <v/>
      </c>
    </row>
    <row r="22" spans="1:10">
      <c r="A22" s="39"/>
      <c r="B22" s="39"/>
      <c r="C22" s="39"/>
      <c r="D22" s="39"/>
      <c r="E22" s="55" t="str">
        <f t="shared" si="0"/>
        <v/>
      </c>
      <c r="F22" s="39"/>
      <c r="G22" s="39"/>
      <c r="H22" s="39"/>
      <c r="I22" s="39"/>
      <c r="J22" s="39" t="str">
        <f t="shared" si="1"/>
        <v/>
      </c>
    </row>
    <row r="23" spans="1:10">
      <c r="A23" s="39"/>
      <c r="B23" s="39"/>
      <c r="C23" s="39"/>
      <c r="D23" s="39"/>
      <c r="E23" s="55" t="str">
        <f t="shared" si="0"/>
        <v/>
      </c>
      <c r="F23" s="39"/>
      <c r="G23" s="39"/>
      <c r="H23" s="39"/>
      <c r="I23" s="39"/>
      <c r="J23" s="39" t="str">
        <f t="shared" si="1"/>
        <v/>
      </c>
    </row>
    <row r="24" spans="1:10">
      <c r="A24" s="39"/>
      <c r="B24" s="39"/>
      <c r="C24" s="39"/>
      <c r="D24" s="39"/>
      <c r="E24" s="55" t="str">
        <f t="shared" si="0"/>
        <v/>
      </c>
      <c r="F24" s="39"/>
      <c r="G24" s="39"/>
      <c r="H24" s="39"/>
      <c r="I24" s="39"/>
      <c r="J24" s="39" t="str">
        <f t="shared" si="1"/>
        <v/>
      </c>
    </row>
    <row r="25" spans="1:10">
      <c r="A25" s="39"/>
      <c r="B25" s="39"/>
      <c r="C25" s="39"/>
      <c r="D25" s="39"/>
      <c r="E25" s="55" t="str">
        <f t="shared" si="0"/>
        <v/>
      </c>
      <c r="F25" s="39"/>
      <c r="G25" s="39"/>
      <c r="H25" s="39"/>
      <c r="I25" s="39"/>
      <c r="J25" s="39" t="str">
        <f t="shared" si="1"/>
        <v/>
      </c>
    </row>
    <row r="26" spans="1:10">
      <c r="A26" s="39"/>
      <c r="B26" s="39"/>
      <c r="C26" s="39"/>
      <c r="D26" s="39"/>
      <c r="E26" s="55" t="str">
        <f t="shared" si="0"/>
        <v/>
      </c>
      <c r="F26" s="39"/>
      <c r="G26" s="39"/>
      <c r="H26" s="39"/>
      <c r="I26" s="39"/>
      <c r="J26" s="39" t="str">
        <f t="shared" si="1"/>
        <v/>
      </c>
    </row>
    <row r="27" spans="1:10">
      <c r="A27" s="39"/>
      <c r="B27" s="39"/>
      <c r="C27" s="39"/>
      <c r="D27" s="39"/>
      <c r="E27" s="55" t="str">
        <f t="shared" si="0"/>
        <v/>
      </c>
      <c r="F27" s="39"/>
      <c r="G27" s="39"/>
      <c r="H27" s="39"/>
      <c r="I27" s="39"/>
      <c r="J27" s="39" t="str">
        <f t="shared" si="1"/>
        <v/>
      </c>
    </row>
    <row r="28" spans="1:10">
      <c r="A28" s="39"/>
      <c r="B28" s="39"/>
      <c r="C28" s="39"/>
      <c r="D28" s="39"/>
      <c r="E28" s="55" t="str">
        <f t="shared" si="0"/>
        <v/>
      </c>
      <c r="F28" s="39"/>
      <c r="G28" s="39"/>
      <c r="H28" s="39"/>
      <c r="I28" s="39"/>
      <c r="J28" s="39" t="str">
        <f t="shared" si="1"/>
        <v/>
      </c>
    </row>
    <row r="29" spans="1:10">
      <c r="A29" s="39"/>
      <c r="B29" s="39"/>
      <c r="C29" s="39"/>
      <c r="D29" s="39"/>
      <c r="E29" s="55" t="str">
        <f t="shared" si="0"/>
        <v/>
      </c>
      <c r="F29" s="39"/>
      <c r="G29" s="39"/>
      <c r="H29" s="39"/>
      <c r="I29" s="39"/>
      <c r="J29" s="39" t="str">
        <f t="shared" si="1"/>
        <v/>
      </c>
    </row>
    <row r="30" spans="1:10">
      <c r="A30" s="39"/>
      <c r="B30" s="39"/>
      <c r="C30" s="39"/>
      <c r="D30" s="39"/>
      <c r="E30" s="55" t="str">
        <f t="shared" si="0"/>
        <v/>
      </c>
      <c r="F30" s="39"/>
      <c r="G30" s="39"/>
      <c r="H30" s="39"/>
      <c r="I30" s="39"/>
      <c r="J30" s="39" t="str">
        <f t="shared" si="1"/>
        <v/>
      </c>
    </row>
    <row r="31" spans="1:10">
      <c r="A31" s="39"/>
      <c r="B31" s="39"/>
      <c r="C31" s="39"/>
      <c r="D31" s="39"/>
      <c r="E31" s="55" t="str">
        <f t="shared" si="0"/>
        <v/>
      </c>
      <c r="F31" s="39"/>
      <c r="G31" s="39"/>
      <c r="H31" s="39"/>
      <c r="I31" s="39"/>
      <c r="J31" s="39" t="str">
        <f t="shared" si="1"/>
        <v/>
      </c>
    </row>
    <row r="32" spans="1:10">
      <c r="A32" s="39"/>
      <c r="B32" s="39"/>
      <c r="C32" s="39"/>
      <c r="D32" s="39"/>
      <c r="E32" s="55" t="str">
        <f t="shared" si="0"/>
        <v/>
      </c>
      <c r="F32" s="39"/>
      <c r="G32" s="39"/>
      <c r="H32" s="39"/>
      <c r="I32" s="39"/>
      <c r="J32" s="39" t="str">
        <f t="shared" si="1"/>
        <v/>
      </c>
    </row>
    <row r="33" spans="1:10">
      <c r="A33" s="39"/>
      <c r="B33" s="39"/>
      <c r="C33" s="39"/>
      <c r="D33" s="39"/>
      <c r="E33" s="55" t="str">
        <f t="shared" si="0"/>
        <v/>
      </c>
      <c r="F33" s="39"/>
      <c r="G33" s="39"/>
      <c r="H33" s="39"/>
      <c r="I33" s="39"/>
      <c r="J33" s="39" t="str">
        <f t="shared" si="1"/>
        <v/>
      </c>
    </row>
    <row r="34" spans="1:10">
      <c r="A34" s="39"/>
      <c r="B34" s="39"/>
      <c r="C34" s="39"/>
      <c r="D34" s="39"/>
      <c r="E34" s="55" t="str">
        <f t="shared" si="0"/>
        <v/>
      </c>
      <c r="F34" s="39"/>
      <c r="G34" s="39"/>
      <c r="H34" s="39"/>
      <c r="I34" s="39"/>
      <c r="J34" s="39" t="str">
        <f t="shared" si="1"/>
        <v/>
      </c>
    </row>
    <row r="35" spans="1:10">
      <c r="A35" s="39"/>
      <c r="B35" s="39"/>
      <c r="C35" s="39"/>
      <c r="D35" s="39"/>
      <c r="E35" s="55" t="str">
        <f t="shared" si="0"/>
        <v/>
      </c>
      <c r="F35" s="39"/>
      <c r="G35" s="39"/>
      <c r="H35" s="39"/>
      <c r="I35" s="39"/>
      <c r="J35" s="39" t="str">
        <f t="shared" si="1"/>
        <v/>
      </c>
    </row>
    <row r="36" spans="1:10">
      <c r="A36" s="39"/>
      <c r="B36" s="39"/>
      <c r="C36" s="39"/>
      <c r="D36" s="39"/>
      <c r="E36" s="55" t="str">
        <f t="shared" si="0"/>
        <v/>
      </c>
      <c r="F36" s="39"/>
      <c r="G36" s="39"/>
      <c r="H36" s="39"/>
      <c r="I36" s="39"/>
      <c r="J36" s="39" t="str">
        <f t="shared" si="1"/>
        <v/>
      </c>
    </row>
    <row r="37" spans="1:10">
      <c r="A37" s="39"/>
      <c r="B37" s="39"/>
      <c r="C37" s="39"/>
      <c r="D37" s="39"/>
      <c r="E37" s="55" t="str">
        <f t="shared" si="0"/>
        <v/>
      </c>
      <c r="F37" s="39"/>
      <c r="G37" s="39"/>
      <c r="H37" s="39"/>
      <c r="I37" s="39"/>
      <c r="J37" s="39" t="str">
        <f t="shared" si="1"/>
        <v/>
      </c>
    </row>
    <row r="38" spans="1:10">
      <c r="A38" s="39"/>
      <c r="B38" s="39"/>
      <c r="C38" s="39"/>
      <c r="D38" s="39"/>
      <c r="E38" s="55" t="str">
        <f t="shared" si="0"/>
        <v/>
      </c>
      <c r="F38" s="39"/>
      <c r="G38" s="39"/>
      <c r="H38" s="39"/>
      <c r="I38" s="39"/>
      <c r="J38" s="39" t="str">
        <f t="shared" si="1"/>
        <v/>
      </c>
    </row>
    <row r="39" spans="1:10">
      <c r="A39" s="39"/>
      <c r="B39" s="39"/>
      <c r="C39" s="39"/>
      <c r="D39" s="39"/>
      <c r="E39" s="55" t="str">
        <f t="shared" si="0"/>
        <v/>
      </c>
      <c r="F39" s="39"/>
      <c r="G39" s="39"/>
      <c r="H39" s="39"/>
      <c r="I39" s="39"/>
      <c r="J39" s="39" t="str">
        <f t="shared" si="1"/>
        <v/>
      </c>
    </row>
    <row r="40" spans="1:10">
      <c r="A40" s="39"/>
      <c r="B40" s="39"/>
      <c r="C40" s="39"/>
      <c r="D40" s="39"/>
      <c r="E40" s="55" t="str">
        <f t="shared" si="0"/>
        <v/>
      </c>
      <c r="F40" s="39"/>
      <c r="G40" s="39"/>
      <c r="H40" s="39"/>
      <c r="I40" s="39"/>
      <c r="J40" s="39" t="str">
        <f t="shared" si="1"/>
        <v/>
      </c>
    </row>
    <row r="41" spans="1:10">
      <c r="A41" s="39"/>
      <c r="B41" s="39"/>
      <c r="C41" s="39"/>
      <c r="D41" s="39"/>
      <c r="E41" s="55" t="str">
        <f t="shared" si="0"/>
        <v/>
      </c>
      <c r="F41" s="39"/>
      <c r="G41" s="39"/>
      <c r="H41" s="39"/>
      <c r="I41" s="39"/>
      <c r="J41" s="39" t="str">
        <f t="shared" si="1"/>
        <v/>
      </c>
    </row>
    <row r="42" spans="1:10">
      <c r="A42" s="39"/>
      <c r="B42" s="39"/>
      <c r="C42" s="39"/>
      <c r="D42" s="39"/>
      <c r="E42" s="55" t="str">
        <f t="shared" si="0"/>
        <v/>
      </c>
      <c r="F42" s="39"/>
      <c r="G42" s="39"/>
      <c r="H42" s="39"/>
      <c r="I42" s="39"/>
      <c r="J42" s="39" t="str">
        <f t="shared" si="1"/>
        <v/>
      </c>
    </row>
    <row r="43" spans="1:10">
      <c r="A43" s="39"/>
      <c r="B43" s="39"/>
      <c r="C43" s="39"/>
      <c r="D43" s="39"/>
      <c r="E43" s="55" t="str">
        <f t="shared" si="0"/>
        <v/>
      </c>
      <c r="F43" s="39"/>
      <c r="G43" s="39"/>
      <c r="H43" s="39"/>
      <c r="I43" s="39"/>
      <c r="J43" s="39" t="str">
        <f t="shared" si="1"/>
        <v/>
      </c>
    </row>
    <row r="44" spans="1:10">
      <c r="A44" s="39"/>
      <c r="B44" s="39"/>
      <c r="C44" s="39"/>
      <c r="D44" s="39"/>
      <c r="E44" s="55" t="str">
        <f t="shared" si="0"/>
        <v/>
      </c>
      <c r="F44" s="39"/>
      <c r="G44" s="39"/>
      <c r="H44" s="39"/>
      <c r="I44" s="39"/>
      <c r="J44" s="39" t="str">
        <f t="shared" si="1"/>
        <v/>
      </c>
    </row>
    <row r="45" spans="1:10">
      <c r="A45" s="39"/>
      <c r="B45" s="39"/>
      <c r="C45" s="39"/>
      <c r="D45" s="39"/>
      <c r="E45" s="55" t="str">
        <f t="shared" si="0"/>
        <v/>
      </c>
      <c r="F45" s="39"/>
      <c r="G45" s="39"/>
      <c r="H45" s="39"/>
      <c r="I45" s="39"/>
      <c r="J45" s="39" t="str">
        <f t="shared" si="1"/>
        <v/>
      </c>
    </row>
    <row r="46" spans="1:10">
      <c r="A46" s="39"/>
      <c r="B46" s="39"/>
      <c r="C46" s="39"/>
      <c r="D46" s="39"/>
      <c r="E46" s="55" t="str">
        <f t="shared" si="0"/>
        <v/>
      </c>
      <c r="F46" s="39"/>
      <c r="G46" s="39"/>
      <c r="H46" s="39"/>
      <c r="I46" s="39"/>
      <c r="J46" s="39" t="str">
        <f t="shared" si="1"/>
        <v/>
      </c>
    </row>
    <row r="47" spans="1:10">
      <c r="A47" s="39"/>
      <c r="B47" s="39"/>
      <c r="C47" s="39"/>
      <c r="D47" s="39"/>
      <c r="E47" s="55" t="str">
        <f t="shared" si="0"/>
        <v/>
      </c>
      <c r="F47" s="39"/>
      <c r="G47" s="39"/>
      <c r="H47" s="39"/>
      <c r="I47" s="39"/>
      <c r="J47" s="39" t="str">
        <f t="shared" si="1"/>
        <v/>
      </c>
    </row>
    <row r="48" spans="1:10">
      <c r="A48" s="39"/>
      <c r="B48" s="39"/>
      <c r="C48" s="39"/>
      <c r="D48" s="39"/>
      <c r="E48" s="55" t="str">
        <f t="shared" si="0"/>
        <v/>
      </c>
      <c r="F48" s="39"/>
      <c r="G48" s="39"/>
      <c r="H48" s="39"/>
      <c r="I48" s="39"/>
      <c r="J48" s="39" t="str">
        <f t="shared" si="1"/>
        <v/>
      </c>
    </row>
    <row r="49" spans="1:10">
      <c r="A49" s="39"/>
      <c r="B49" s="39"/>
      <c r="C49" s="39"/>
      <c r="D49" s="39"/>
      <c r="E49" s="55" t="str">
        <f t="shared" si="0"/>
        <v/>
      </c>
      <c r="F49" s="39"/>
      <c r="G49" s="39"/>
      <c r="H49" s="39"/>
      <c r="I49" s="39"/>
      <c r="J49" s="39" t="str">
        <f t="shared" si="1"/>
        <v/>
      </c>
    </row>
    <row r="50" spans="1:10">
      <c r="A50" s="39"/>
      <c r="B50" s="39"/>
      <c r="C50" s="39"/>
      <c r="D50" s="39"/>
      <c r="E50" s="55" t="str">
        <f t="shared" si="0"/>
        <v/>
      </c>
      <c r="F50" s="39"/>
      <c r="G50" s="39"/>
      <c r="H50" s="39"/>
      <c r="I50" s="39"/>
      <c r="J50" s="39" t="str">
        <f t="shared" si="1"/>
        <v/>
      </c>
    </row>
  </sheetData>
  <mergeCells count="2">
    <mergeCell ref="A1:J1"/>
    <mergeCell ref="A2:J2"/>
  </mergeCells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Valor inválido" error="Selecione um valor da lista." xr:uid="{00000000-0002-0000-0D00-000000000000}">
          <x14:formula1>
            <xm:f>BD_ALUNOS!$C$2:$C$200</xm:f>
          </x14:formula1>
          <xm:sqref>A6:A50</xm:sqref>
        </x14:dataValidation>
        <x14:dataValidation type="list" allowBlank="1" showErrorMessage="1" errorTitle="Valor inválido" error="Selecione um valor da lista." xr:uid="{00000000-0002-0000-0D00-000001000000}">
          <x14:formula1>
            <xm:f>'08_PROFESSORES'!$B$6:$B$50</xm:f>
          </x14:formula1>
          <xm:sqref>H6:H50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>
    <tabColor rgb="FFA3001E"/>
  </sheetPr>
  <dimension ref="A1:N100"/>
  <sheetViews>
    <sheetView workbookViewId="0">
      <pane ySplit="5" topLeftCell="A6" activePane="bottomLeft" state="frozen"/>
      <selection pane="bottomLeft"/>
    </sheetView>
  </sheetViews>
  <sheetFormatPr defaultRowHeight="14.4"/>
  <cols>
    <col min="1" max="1" width="24" customWidth="1"/>
    <col min="2" max="2" width="12" customWidth="1"/>
    <col min="3" max="4" width="10" customWidth="1"/>
    <col min="5" max="5" width="18" customWidth="1"/>
    <col min="6" max="6" width="16" customWidth="1"/>
    <col min="7" max="8" width="8" customWidth="1"/>
    <col min="9" max="9" width="10" customWidth="1"/>
    <col min="11" max="11" width="24" customWidth="1"/>
    <col min="12" max="12" width="14" customWidth="1"/>
    <col min="13" max="13" width="16" customWidth="1"/>
  </cols>
  <sheetData>
    <row r="1" spans="1:14" ht="36" customHeight="1">
      <c r="A1" s="122" t="s">
        <v>344</v>
      </c>
      <c r="B1" s="123"/>
      <c r="C1" s="123"/>
      <c r="D1" s="123"/>
      <c r="E1" s="123"/>
      <c r="F1" s="123"/>
      <c r="G1" s="123"/>
      <c r="H1" s="123"/>
      <c r="I1" s="123"/>
    </row>
    <row r="2" spans="1:14" ht="18" customHeight="1">
      <c r="A2" s="124" t="s">
        <v>345</v>
      </c>
      <c r="B2" s="125"/>
      <c r="C2" s="125"/>
      <c r="D2" s="125"/>
      <c r="E2" s="125"/>
      <c r="F2" s="125"/>
      <c r="G2" s="125"/>
      <c r="H2" s="125"/>
      <c r="I2" s="125"/>
    </row>
    <row r="5" spans="1:14" ht="28.8">
      <c r="A5" s="35" t="s">
        <v>177</v>
      </c>
      <c r="B5" s="35" t="s">
        <v>217</v>
      </c>
      <c r="C5" s="35" t="s">
        <v>346</v>
      </c>
      <c r="D5" s="35" t="s">
        <v>347</v>
      </c>
      <c r="E5" s="35" t="s">
        <v>76</v>
      </c>
      <c r="F5" s="35" t="s">
        <v>348</v>
      </c>
      <c r="G5" s="35" t="s">
        <v>57</v>
      </c>
      <c r="H5" s="35" t="s">
        <v>222</v>
      </c>
      <c r="I5" s="35" t="s">
        <v>349</v>
      </c>
      <c r="K5" s="126" t="s">
        <v>350</v>
      </c>
      <c r="L5" s="87"/>
      <c r="M5" s="87"/>
      <c r="N5" s="87"/>
    </row>
    <row r="6" spans="1:14">
      <c r="A6" s="39" t="s">
        <v>108</v>
      </c>
      <c r="B6" s="49">
        <v>46223</v>
      </c>
      <c r="C6" s="39" t="s">
        <v>351</v>
      </c>
      <c r="D6" s="39" t="s">
        <v>352</v>
      </c>
      <c r="E6" s="39" t="s">
        <v>119</v>
      </c>
      <c r="F6" s="39">
        <f t="shared" ref="F6:F37" si="0">IF(OR(C6="",D6=""),"",ROUND((TIMEVALUE(D6)-TIMEVALUE(C6))*1440,0))</f>
        <v>75</v>
      </c>
      <c r="G6" s="39">
        <f t="shared" ref="G6:G37" si="1">IF(B6="","",MONTH(B6))</f>
        <v>7</v>
      </c>
      <c r="H6" s="39">
        <f t="shared" ref="H6:H37" si="2">IF(B6="","",YEAR(B6))</f>
        <v>2026</v>
      </c>
      <c r="I6" s="39" t="s">
        <v>353</v>
      </c>
      <c r="K6" s="33" t="s">
        <v>177</v>
      </c>
      <c r="L6" s="33" t="s">
        <v>354</v>
      </c>
      <c r="M6" s="33" t="s">
        <v>355</v>
      </c>
    </row>
    <row r="7" spans="1:14">
      <c r="A7" s="39" t="s">
        <v>122</v>
      </c>
      <c r="B7" s="49">
        <v>46223</v>
      </c>
      <c r="C7" s="39" t="s">
        <v>356</v>
      </c>
      <c r="D7" s="39" t="s">
        <v>357</v>
      </c>
      <c r="E7" s="39" t="s">
        <v>129</v>
      </c>
      <c r="F7" s="39">
        <f t="shared" si="0"/>
        <v>70</v>
      </c>
      <c r="G7" s="39">
        <f t="shared" si="1"/>
        <v>7</v>
      </c>
      <c r="H7" s="39">
        <f t="shared" si="2"/>
        <v>2026</v>
      </c>
      <c r="I7" s="39" t="s">
        <v>353</v>
      </c>
      <c r="K7" s="39" t="s">
        <v>108</v>
      </c>
      <c r="L7" s="39">
        <f t="shared" ref="L7:L14" ca="1" si="3">COUNTIFS($A$6:$A$100,K7,$G$6:$G$100,MONTH(TODAY()),$H$6:$H$100,YEAR(TODAY()))</f>
        <v>2</v>
      </c>
      <c r="M7" s="39" t="str">
        <f t="shared" ref="M7:M14" ca="1" si="4">IF(L7=0,"🔴 Ausente",IF(L7&lt;4,"🟡 Baixa","🟢 Frequente"))</f>
        <v>🟡 Baixa</v>
      </c>
    </row>
    <row r="8" spans="1:14">
      <c r="A8" s="39" t="s">
        <v>131</v>
      </c>
      <c r="B8" s="49">
        <v>46223</v>
      </c>
      <c r="C8" s="39" t="s">
        <v>358</v>
      </c>
      <c r="D8" s="39" t="s">
        <v>359</v>
      </c>
      <c r="E8" s="39" t="s">
        <v>137</v>
      </c>
      <c r="F8" s="39">
        <f t="shared" si="0"/>
        <v>60</v>
      </c>
      <c r="G8" s="39">
        <f t="shared" si="1"/>
        <v>7</v>
      </c>
      <c r="H8" s="39">
        <f t="shared" si="2"/>
        <v>2026</v>
      </c>
      <c r="I8" s="39" t="s">
        <v>353</v>
      </c>
      <c r="K8" s="39" t="s">
        <v>122</v>
      </c>
      <c r="L8" s="39">
        <f t="shared" ca="1" si="3"/>
        <v>1</v>
      </c>
      <c r="M8" s="39" t="str">
        <f t="shared" ca="1" si="4"/>
        <v>🟡 Baixa</v>
      </c>
    </row>
    <row r="9" spans="1:14">
      <c r="A9" s="39" t="s">
        <v>154</v>
      </c>
      <c r="B9" s="49">
        <v>46224</v>
      </c>
      <c r="C9" s="39" t="s">
        <v>360</v>
      </c>
      <c r="D9" s="39" t="s">
        <v>361</v>
      </c>
      <c r="E9" s="39" t="s">
        <v>137</v>
      </c>
      <c r="F9" s="39">
        <f t="shared" si="0"/>
        <v>75</v>
      </c>
      <c r="G9" s="39">
        <f t="shared" si="1"/>
        <v>7</v>
      </c>
      <c r="H9" s="39">
        <f t="shared" si="2"/>
        <v>2026</v>
      </c>
      <c r="I9" s="39" t="s">
        <v>353</v>
      </c>
      <c r="K9" s="39" t="s">
        <v>131</v>
      </c>
      <c r="L9" s="39">
        <f t="shared" ca="1" si="3"/>
        <v>1</v>
      </c>
      <c r="M9" s="39" t="str">
        <f t="shared" ca="1" si="4"/>
        <v>🟡 Baixa</v>
      </c>
    </row>
    <row r="10" spans="1:14">
      <c r="A10" s="39" t="s">
        <v>147</v>
      </c>
      <c r="B10" s="49">
        <v>46224</v>
      </c>
      <c r="C10" s="39" t="s">
        <v>362</v>
      </c>
      <c r="D10" s="39" t="s">
        <v>363</v>
      </c>
      <c r="E10" s="39" t="s">
        <v>152</v>
      </c>
      <c r="F10" s="39">
        <f t="shared" si="0"/>
        <v>60</v>
      </c>
      <c r="G10" s="39">
        <f t="shared" si="1"/>
        <v>7</v>
      </c>
      <c r="H10" s="39">
        <f t="shared" si="2"/>
        <v>2026</v>
      </c>
      <c r="I10" s="39" t="s">
        <v>353</v>
      </c>
      <c r="K10" s="39" t="s">
        <v>139</v>
      </c>
      <c r="L10" s="39">
        <f t="shared" ca="1" si="3"/>
        <v>0</v>
      </c>
      <c r="M10" s="39" t="str">
        <f t="shared" ca="1" si="4"/>
        <v>🔴 Ausente</v>
      </c>
    </row>
    <row r="11" spans="1:14">
      <c r="A11" s="39" t="s">
        <v>168</v>
      </c>
      <c r="B11" s="49">
        <v>46224</v>
      </c>
      <c r="C11" s="39" t="s">
        <v>364</v>
      </c>
      <c r="D11" s="39" t="s">
        <v>365</v>
      </c>
      <c r="E11" s="39" t="s">
        <v>119</v>
      </c>
      <c r="F11" s="39">
        <f t="shared" si="0"/>
        <v>70</v>
      </c>
      <c r="G11" s="39">
        <f t="shared" si="1"/>
        <v>7</v>
      </c>
      <c r="H11" s="39">
        <f t="shared" si="2"/>
        <v>2026</v>
      </c>
      <c r="I11" s="39" t="s">
        <v>353</v>
      </c>
      <c r="K11" s="39" t="s">
        <v>147</v>
      </c>
      <c r="L11" s="39">
        <f t="shared" ca="1" si="3"/>
        <v>1</v>
      </c>
      <c r="M11" s="39" t="str">
        <f t="shared" ca="1" si="4"/>
        <v>🟡 Baixa</v>
      </c>
    </row>
    <row r="12" spans="1:14">
      <c r="A12" s="39" t="s">
        <v>108</v>
      </c>
      <c r="B12" s="49">
        <v>46224</v>
      </c>
      <c r="C12" s="39" t="s">
        <v>366</v>
      </c>
      <c r="D12" s="39" t="s">
        <v>367</v>
      </c>
      <c r="E12" s="39" t="s">
        <v>119</v>
      </c>
      <c r="F12" s="39">
        <f t="shared" si="0"/>
        <v>75</v>
      </c>
      <c r="G12" s="39">
        <f t="shared" si="1"/>
        <v>7</v>
      </c>
      <c r="H12" s="39">
        <f t="shared" si="2"/>
        <v>2026</v>
      </c>
      <c r="I12" s="39" t="s">
        <v>353</v>
      </c>
      <c r="K12" s="39" t="s">
        <v>154</v>
      </c>
      <c r="L12" s="39">
        <f t="shared" ca="1" si="3"/>
        <v>1</v>
      </c>
      <c r="M12" s="39" t="str">
        <f t="shared" ca="1" si="4"/>
        <v>🟡 Baixa</v>
      </c>
    </row>
    <row r="13" spans="1:14">
      <c r="A13" s="39" t="s">
        <v>161</v>
      </c>
      <c r="B13" s="49">
        <v>46218</v>
      </c>
      <c r="C13" s="39" t="s">
        <v>368</v>
      </c>
      <c r="D13" s="39" t="s">
        <v>369</v>
      </c>
      <c r="E13" s="39" t="s">
        <v>129</v>
      </c>
      <c r="F13" s="39">
        <f t="shared" si="0"/>
        <v>60</v>
      </c>
      <c r="G13" s="39">
        <f t="shared" si="1"/>
        <v>7</v>
      </c>
      <c r="H13" s="39">
        <f t="shared" si="2"/>
        <v>2026</v>
      </c>
      <c r="I13" s="39" t="s">
        <v>353</v>
      </c>
      <c r="K13" s="39" t="s">
        <v>161</v>
      </c>
      <c r="L13" s="39">
        <f t="shared" ca="1" si="3"/>
        <v>1</v>
      </c>
      <c r="M13" s="39" t="str">
        <f t="shared" ca="1" si="4"/>
        <v>🟡 Baixa</v>
      </c>
    </row>
    <row r="14" spans="1:14">
      <c r="A14" s="39"/>
      <c r="B14" s="39"/>
      <c r="C14" s="39"/>
      <c r="D14" s="39"/>
      <c r="E14" s="39"/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/>
      <c r="K14" s="39" t="s">
        <v>168</v>
      </c>
      <c r="L14" s="39">
        <f t="shared" ca="1" si="3"/>
        <v>1</v>
      </c>
      <c r="M14" s="39" t="str">
        <f t="shared" ca="1" si="4"/>
        <v>🟡 Baixa</v>
      </c>
    </row>
    <row r="15" spans="1:14">
      <c r="A15" s="39"/>
      <c r="B15" s="39"/>
      <c r="C15" s="39"/>
      <c r="D15" s="39"/>
      <c r="E15" s="39"/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/>
    </row>
    <row r="16" spans="1:14">
      <c r="A16" s="39"/>
      <c r="B16" s="39"/>
      <c r="C16" s="39"/>
      <c r="D16" s="39"/>
      <c r="E16" s="39"/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/>
      <c r="K16" s="42" t="s">
        <v>370</v>
      </c>
    </row>
    <row r="17" spans="1:9">
      <c r="A17" s="39"/>
      <c r="B17" s="39"/>
      <c r="C17" s="39"/>
      <c r="D17" s="39"/>
      <c r="E17" s="39"/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/>
    </row>
    <row r="18" spans="1:9">
      <c r="A18" s="39"/>
      <c r="B18" s="39"/>
      <c r="C18" s="39"/>
      <c r="D18" s="39"/>
      <c r="E18" s="39"/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/>
    </row>
    <row r="19" spans="1:9">
      <c r="A19" s="39"/>
      <c r="B19" s="39"/>
      <c r="C19" s="39"/>
      <c r="D19" s="39"/>
      <c r="E19" s="39"/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/>
    </row>
    <row r="20" spans="1:9">
      <c r="A20" s="39"/>
      <c r="B20" s="39"/>
      <c r="C20" s="39"/>
      <c r="D20" s="39"/>
      <c r="E20" s="39"/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/>
    </row>
    <row r="21" spans="1:9">
      <c r="A21" s="39"/>
      <c r="B21" s="39"/>
      <c r="C21" s="39"/>
      <c r="D21" s="39"/>
      <c r="E21" s="39"/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/>
    </row>
    <row r="22" spans="1:9">
      <c r="A22" s="39"/>
      <c r="B22" s="39"/>
      <c r="C22" s="39"/>
      <c r="D22" s="39"/>
      <c r="E22" s="39"/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/>
    </row>
    <row r="23" spans="1:9">
      <c r="A23" s="39"/>
      <c r="B23" s="39"/>
      <c r="C23" s="39"/>
      <c r="D23" s="39"/>
      <c r="E23" s="39"/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/>
    </row>
    <row r="24" spans="1:9">
      <c r="A24" s="39"/>
      <c r="B24" s="39"/>
      <c r="C24" s="39"/>
      <c r="D24" s="39"/>
      <c r="E24" s="39"/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/>
    </row>
    <row r="25" spans="1:9">
      <c r="A25" s="39"/>
      <c r="B25" s="39"/>
      <c r="C25" s="39"/>
      <c r="D25" s="39"/>
      <c r="E25" s="39"/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/>
    </row>
    <row r="26" spans="1:9">
      <c r="A26" s="39"/>
      <c r="B26" s="39"/>
      <c r="C26" s="39"/>
      <c r="D26" s="39"/>
      <c r="E26" s="39"/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/>
    </row>
    <row r="27" spans="1:9">
      <c r="A27" s="39"/>
      <c r="B27" s="39"/>
      <c r="C27" s="39"/>
      <c r="D27" s="39"/>
      <c r="E27" s="39"/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/>
    </row>
    <row r="28" spans="1:9">
      <c r="A28" s="39"/>
      <c r="B28" s="39"/>
      <c r="C28" s="39"/>
      <c r="D28" s="39"/>
      <c r="E28" s="39"/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/>
    </row>
    <row r="29" spans="1:9">
      <c r="A29" s="39"/>
      <c r="B29" s="39"/>
      <c r="C29" s="39"/>
      <c r="D29" s="39"/>
      <c r="E29" s="39"/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/>
    </row>
    <row r="30" spans="1:9">
      <c r="A30" s="39"/>
      <c r="B30" s="39"/>
      <c r="C30" s="39"/>
      <c r="D30" s="39"/>
      <c r="E30" s="39"/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/>
    </row>
    <row r="31" spans="1:9">
      <c r="A31" s="39"/>
      <c r="B31" s="39"/>
      <c r="C31" s="39"/>
      <c r="D31" s="39"/>
      <c r="E31" s="39"/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/>
    </row>
    <row r="32" spans="1:9">
      <c r="A32" s="39"/>
      <c r="B32" s="39"/>
      <c r="C32" s="39"/>
      <c r="D32" s="39"/>
      <c r="E32" s="39"/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/>
    </row>
    <row r="33" spans="1:9">
      <c r="A33" s="39"/>
      <c r="B33" s="39"/>
      <c r="C33" s="39"/>
      <c r="D33" s="39"/>
      <c r="E33" s="39"/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/>
    </row>
    <row r="34" spans="1:9">
      <c r="A34" s="39"/>
      <c r="B34" s="39"/>
      <c r="C34" s="39"/>
      <c r="D34" s="39"/>
      <c r="E34" s="39"/>
      <c r="F34" s="39" t="str">
        <f t="shared" si="0"/>
        <v/>
      </c>
      <c r="G34" s="39" t="str">
        <f t="shared" si="1"/>
        <v/>
      </c>
      <c r="H34" s="39" t="str">
        <f t="shared" si="2"/>
        <v/>
      </c>
      <c r="I34" s="39"/>
    </row>
    <row r="35" spans="1:9">
      <c r="A35" s="39"/>
      <c r="B35" s="39"/>
      <c r="C35" s="39"/>
      <c r="D35" s="39"/>
      <c r="E35" s="39"/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/>
    </row>
    <row r="36" spans="1:9">
      <c r="A36" s="39"/>
      <c r="B36" s="39"/>
      <c r="C36" s="39"/>
      <c r="D36" s="39"/>
      <c r="E36" s="39"/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/>
    </row>
    <row r="37" spans="1:9">
      <c r="A37" s="39"/>
      <c r="B37" s="39"/>
      <c r="C37" s="39"/>
      <c r="D37" s="39"/>
      <c r="E37" s="39"/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/>
    </row>
    <row r="38" spans="1:9">
      <c r="A38" s="39"/>
      <c r="B38" s="39"/>
      <c r="C38" s="39"/>
      <c r="D38" s="39"/>
      <c r="E38" s="39"/>
      <c r="F38" s="39" t="str">
        <f t="shared" ref="F38:F69" si="5">IF(OR(C38="",D38=""),"",ROUND((TIMEVALUE(D38)-TIMEVALUE(C38))*1440,0))</f>
        <v/>
      </c>
      <c r="G38" s="39" t="str">
        <f t="shared" ref="G38:G69" si="6">IF(B38="","",MONTH(B38))</f>
        <v/>
      </c>
      <c r="H38" s="39" t="str">
        <f t="shared" ref="H38:H69" si="7">IF(B38="","",YEAR(B38))</f>
        <v/>
      </c>
      <c r="I38" s="39"/>
    </row>
    <row r="39" spans="1:9">
      <c r="A39" s="39"/>
      <c r="B39" s="39"/>
      <c r="C39" s="39"/>
      <c r="D39" s="39"/>
      <c r="E39" s="39"/>
      <c r="F39" s="39" t="str">
        <f t="shared" si="5"/>
        <v/>
      </c>
      <c r="G39" s="39" t="str">
        <f t="shared" si="6"/>
        <v/>
      </c>
      <c r="H39" s="39" t="str">
        <f t="shared" si="7"/>
        <v/>
      </c>
      <c r="I39" s="39"/>
    </row>
    <row r="40" spans="1:9">
      <c r="A40" s="39"/>
      <c r="B40" s="39"/>
      <c r="C40" s="39"/>
      <c r="D40" s="39"/>
      <c r="E40" s="39"/>
      <c r="F40" s="39" t="str">
        <f t="shared" si="5"/>
        <v/>
      </c>
      <c r="G40" s="39" t="str">
        <f t="shared" si="6"/>
        <v/>
      </c>
      <c r="H40" s="39" t="str">
        <f t="shared" si="7"/>
        <v/>
      </c>
      <c r="I40" s="39"/>
    </row>
    <row r="41" spans="1:9">
      <c r="A41" s="39"/>
      <c r="B41" s="39"/>
      <c r="C41" s="39"/>
      <c r="D41" s="39"/>
      <c r="E41" s="39"/>
      <c r="F41" s="39" t="str">
        <f t="shared" si="5"/>
        <v/>
      </c>
      <c r="G41" s="39" t="str">
        <f t="shared" si="6"/>
        <v/>
      </c>
      <c r="H41" s="39" t="str">
        <f t="shared" si="7"/>
        <v/>
      </c>
      <c r="I41" s="39"/>
    </row>
    <row r="42" spans="1:9">
      <c r="A42" s="39"/>
      <c r="B42" s="39"/>
      <c r="C42" s="39"/>
      <c r="D42" s="39"/>
      <c r="E42" s="39"/>
      <c r="F42" s="39" t="str">
        <f t="shared" si="5"/>
        <v/>
      </c>
      <c r="G42" s="39" t="str">
        <f t="shared" si="6"/>
        <v/>
      </c>
      <c r="H42" s="39" t="str">
        <f t="shared" si="7"/>
        <v/>
      </c>
      <c r="I42" s="39"/>
    </row>
    <row r="43" spans="1:9">
      <c r="A43" s="39"/>
      <c r="B43" s="39"/>
      <c r="C43" s="39"/>
      <c r="D43" s="39"/>
      <c r="E43" s="39"/>
      <c r="F43" s="39" t="str">
        <f t="shared" si="5"/>
        <v/>
      </c>
      <c r="G43" s="39" t="str">
        <f t="shared" si="6"/>
        <v/>
      </c>
      <c r="H43" s="39" t="str">
        <f t="shared" si="7"/>
        <v/>
      </c>
      <c r="I43" s="39"/>
    </row>
    <row r="44" spans="1:9">
      <c r="A44" s="39"/>
      <c r="B44" s="39"/>
      <c r="C44" s="39"/>
      <c r="D44" s="39"/>
      <c r="E44" s="39"/>
      <c r="F44" s="39" t="str">
        <f t="shared" si="5"/>
        <v/>
      </c>
      <c r="G44" s="39" t="str">
        <f t="shared" si="6"/>
        <v/>
      </c>
      <c r="H44" s="39" t="str">
        <f t="shared" si="7"/>
        <v/>
      </c>
      <c r="I44" s="39"/>
    </row>
    <row r="45" spans="1:9">
      <c r="A45" s="39"/>
      <c r="B45" s="39"/>
      <c r="C45" s="39"/>
      <c r="D45" s="39"/>
      <c r="E45" s="39"/>
      <c r="F45" s="39" t="str">
        <f t="shared" si="5"/>
        <v/>
      </c>
      <c r="G45" s="39" t="str">
        <f t="shared" si="6"/>
        <v/>
      </c>
      <c r="H45" s="39" t="str">
        <f t="shared" si="7"/>
        <v/>
      </c>
      <c r="I45" s="39"/>
    </row>
    <row r="46" spans="1:9">
      <c r="A46" s="39"/>
      <c r="B46" s="39"/>
      <c r="C46" s="39"/>
      <c r="D46" s="39"/>
      <c r="E46" s="39"/>
      <c r="F46" s="39" t="str">
        <f t="shared" si="5"/>
        <v/>
      </c>
      <c r="G46" s="39" t="str">
        <f t="shared" si="6"/>
        <v/>
      </c>
      <c r="H46" s="39" t="str">
        <f t="shared" si="7"/>
        <v/>
      </c>
      <c r="I46" s="39"/>
    </row>
    <row r="47" spans="1:9">
      <c r="A47" s="39"/>
      <c r="B47" s="39"/>
      <c r="C47" s="39"/>
      <c r="D47" s="39"/>
      <c r="E47" s="39"/>
      <c r="F47" s="39" t="str">
        <f t="shared" si="5"/>
        <v/>
      </c>
      <c r="G47" s="39" t="str">
        <f t="shared" si="6"/>
        <v/>
      </c>
      <c r="H47" s="39" t="str">
        <f t="shared" si="7"/>
        <v/>
      </c>
      <c r="I47" s="39"/>
    </row>
    <row r="48" spans="1:9">
      <c r="A48" s="39"/>
      <c r="B48" s="39"/>
      <c r="C48" s="39"/>
      <c r="D48" s="39"/>
      <c r="E48" s="39"/>
      <c r="F48" s="39" t="str">
        <f t="shared" si="5"/>
        <v/>
      </c>
      <c r="G48" s="39" t="str">
        <f t="shared" si="6"/>
        <v/>
      </c>
      <c r="H48" s="39" t="str">
        <f t="shared" si="7"/>
        <v/>
      </c>
      <c r="I48" s="39"/>
    </row>
    <row r="49" spans="1:9">
      <c r="A49" s="39"/>
      <c r="B49" s="39"/>
      <c r="C49" s="39"/>
      <c r="D49" s="39"/>
      <c r="E49" s="39"/>
      <c r="F49" s="39" t="str">
        <f t="shared" si="5"/>
        <v/>
      </c>
      <c r="G49" s="39" t="str">
        <f t="shared" si="6"/>
        <v/>
      </c>
      <c r="H49" s="39" t="str">
        <f t="shared" si="7"/>
        <v/>
      </c>
      <c r="I49" s="39"/>
    </row>
    <row r="50" spans="1:9">
      <c r="A50" s="39"/>
      <c r="B50" s="39"/>
      <c r="C50" s="39"/>
      <c r="D50" s="39"/>
      <c r="E50" s="39"/>
      <c r="F50" s="39" t="str">
        <f t="shared" si="5"/>
        <v/>
      </c>
      <c r="G50" s="39" t="str">
        <f t="shared" si="6"/>
        <v/>
      </c>
      <c r="H50" s="39" t="str">
        <f t="shared" si="7"/>
        <v/>
      </c>
      <c r="I50" s="39"/>
    </row>
    <row r="51" spans="1:9">
      <c r="A51" s="39"/>
      <c r="B51" s="39"/>
      <c r="C51" s="39"/>
      <c r="D51" s="39"/>
      <c r="E51" s="39"/>
      <c r="F51" s="39" t="str">
        <f t="shared" si="5"/>
        <v/>
      </c>
      <c r="G51" s="39" t="str">
        <f t="shared" si="6"/>
        <v/>
      </c>
      <c r="H51" s="39" t="str">
        <f t="shared" si="7"/>
        <v/>
      </c>
      <c r="I51" s="39"/>
    </row>
    <row r="52" spans="1:9">
      <c r="A52" s="39"/>
      <c r="B52" s="39"/>
      <c r="C52" s="39"/>
      <c r="D52" s="39"/>
      <c r="E52" s="39"/>
      <c r="F52" s="39" t="str">
        <f t="shared" si="5"/>
        <v/>
      </c>
      <c r="G52" s="39" t="str">
        <f t="shared" si="6"/>
        <v/>
      </c>
      <c r="H52" s="39" t="str">
        <f t="shared" si="7"/>
        <v/>
      </c>
      <c r="I52" s="39"/>
    </row>
    <row r="53" spans="1:9">
      <c r="A53" s="39"/>
      <c r="B53" s="39"/>
      <c r="C53" s="39"/>
      <c r="D53" s="39"/>
      <c r="E53" s="39"/>
      <c r="F53" s="39" t="str">
        <f t="shared" si="5"/>
        <v/>
      </c>
      <c r="G53" s="39" t="str">
        <f t="shared" si="6"/>
        <v/>
      </c>
      <c r="H53" s="39" t="str">
        <f t="shared" si="7"/>
        <v/>
      </c>
      <c r="I53" s="39"/>
    </row>
    <row r="54" spans="1:9">
      <c r="A54" s="39"/>
      <c r="B54" s="39"/>
      <c r="C54" s="39"/>
      <c r="D54" s="39"/>
      <c r="E54" s="39"/>
      <c r="F54" s="39" t="str">
        <f t="shared" si="5"/>
        <v/>
      </c>
      <c r="G54" s="39" t="str">
        <f t="shared" si="6"/>
        <v/>
      </c>
      <c r="H54" s="39" t="str">
        <f t="shared" si="7"/>
        <v/>
      </c>
      <c r="I54" s="39"/>
    </row>
    <row r="55" spans="1:9">
      <c r="A55" s="39"/>
      <c r="B55" s="39"/>
      <c r="C55" s="39"/>
      <c r="D55" s="39"/>
      <c r="E55" s="39"/>
      <c r="F55" s="39" t="str">
        <f t="shared" si="5"/>
        <v/>
      </c>
      <c r="G55" s="39" t="str">
        <f t="shared" si="6"/>
        <v/>
      </c>
      <c r="H55" s="39" t="str">
        <f t="shared" si="7"/>
        <v/>
      </c>
      <c r="I55" s="39"/>
    </row>
    <row r="56" spans="1:9">
      <c r="A56" s="39"/>
      <c r="B56" s="39"/>
      <c r="C56" s="39"/>
      <c r="D56" s="39"/>
      <c r="E56" s="39"/>
      <c r="F56" s="39" t="str">
        <f t="shared" si="5"/>
        <v/>
      </c>
      <c r="G56" s="39" t="str">
        <f t="shared" si="6"/>
        <v/>
      </c>
      <c r="H56" s="39" t="str">
        <f t="shared" si="7"/>
        <v/>
      </c>
      <c r="I56" s="39"/>
    </row>
    <row r="57" spans="1:9">
      <c r="A57" s="39"/>
      <c r="B57" s="39"/>
      <c r="C57" s="39"/>
      <c r="D57" s="39"/>
      <c r="E57" s="39"/>
      <c r="F57" s="39" t="str">
        <f t="shared" si="5"/>
        <v/>
      </c>
      <c r="G57" s="39" t="str">
        <f t="shared" si="6"/>
        <v/>
      </c>
      <c r="H57" s="39" t="str">
        <f t="shared" si="7"/>
        <v/>
      </c>
      <c r="I57" s="39"/>
    </row>
    <row r="58" spans="1:9">
      <c r="A58" s="39"/>
      <c r="B58" s="39"/>
      <c r="C58" s="39"/>
      <c r="D58" s="39"/>
      <c r="E58" s="39"/>
      <c r="F58" s="39" t="str">
        <f t="shared" si="5"/>
        <v/>
      </c>
      <c r="G58" s="39" t="str">
        <f t="shared" si="6"/>
        <v/>
      </c>
      <c r="H58" s="39" t="str">
        <f t="shared" si="7"/>
        <v/>
      </c>
      <c r="I58" s="39"/>
    </row>
    <row r="59" spans="1:9">
      <c r="A59" s="39"/>
      <c r="B59" s="39"/>
      <c r="C59" s="39"/>
      <c r="D59" s="39"/>
      <c r="E59" s="39"/>
      <c r="F59" s="39" t="str">
        <f t="shared" si="5"/>
        <v/>
      </c>
      <c r="G59" s="39" t="str">
        <f t="shared" si="6"/>
        <v/>
      </c>
      <c r="H59" s="39" t="str">
        <f t="shared" si="7"/>
        <v/>
      </c>
      <c r="I59" s="39"/>
    </row>
    <row r="60" spans="1:9">
      <c r="A60" s="39"/>
      <c r="B60" s="39"/>
      <c r="C60" s="39"/>
      <c r="D60" s="39"/>
      <c r="E60" s="39"/>
      <c r="F60" s="39" t="str">
        <f t="shared" si="5"/>
        <v/>
      </c>
      <c r="G60" s="39" t="str">
        <f t="shared" si="6"/>
        <v/>
      </c>
      <c r="H60" s="39" t="str">
        <f t="shared" si="7"/>
        <v/>
      </c>
      <c r="I60" s="39"/>
    </row>
    <row r="61" spans="1:9">
      <c r="A61" s="39"/>
      <c r="B61" s="39"/>
      <c r="C61" s="39"/>
      <c r="D61" s="39"/>
      <c r="E61" s="39"/>
      <c r="F61" s="39" t="str">
        <f t="shared" si="5"/>
        <v/>
      </c>
      <c r="G61" s="39" t="str">
        <f t="shared" si="6"/>
        <v/>
      </c>
      <c r="H61" s="39" t="str">
        <f t="shared" si="7"/>
        <v/>
      </c>
      <c r="I61" s="39"/>
    </row>
    <row r="62" spans="1:9">
      <c r="A62" s="39"/>
      <c r="B62" s="39"/>
      <c r="C62" s="39"/>
      <c r="D62" s="39"/>
      <c r="E62" s="39"/>
      <c r="F62" s="39" t="str">
        <f t="shared" si="5"/>
        <v/>
      </c>
      <c r="G62" s="39" t="str">
        <f t="shared" si="6"/>
        <v/>
      </c>
      <c r="H62" s="39" t="str">
        <f t="shared" si="7"/>
        <v/>
      </c>
      <c r="I62" s="39"/>
    </row>
    <row r="63" spans="1:9">
      <c r="A63" s="39"/>
      <c r="B63" s="39"/>
      <c r="C63" s="39"/>
      <c r="D63" s="39"/>
      <c r="E63" s="39"/>
      <c r="F63" s="39" t="str">
        <f t="shared" si="5"/>
        <v/>
      </c>
      <c r="G63" s="39" t="str">
        <f t="shared" si="6"/>
        <v/>
      </c>
      <c r="H63" s="39" t="str">
        <f t="shared" si="7"/>
        <v/>
      </c>
      <c r="I63" s="39"/>
    </row>
    <row r="64" spans="1:9">
      <c r="A64" s="39"/>
      <c r="B64" s="39"/>
      <c r="C64" s="39"/>
      <c r="D64" s="39"/>
      <c r="E64" s="39"/>
      <c r="F64" s="39" t="str">
        <f t="shared" si="5"/>
        <v/>
      </c>
      <c r="G64" s="39" t="str">
        <f t="shared" si="6"/>
        <v/>
      </c>
      <c r="H64" s="39" t="str">
        <f t="shared" si="7"/>
        <v/>
      </c>
      <c r="I64" s="39"/>
    </row>
    <row r="65" spans="1:9">
      <c r="A65" s="39"/>
      <c r="B65" s="39"/>
      <c r="C65" s="39"/>
      <c r="D65" s="39"/>
      <c r="E65" s="39"/>
      <c r="F65" s="39" t="str">
        <f t="shared" si="5"/>
        <v/>
      </c>
      <c r="G65" s="39" t="str">
        <f t="shared" si="6"/>
        <v/>
      </c>
      <c r="H65" s="39" t="str">
        <f t="shared" si="7"/>
        <v/>
      </c>
      <c r="I65" s="39"/>
    </row>
    <row r="66" spans="1:9">
      <c r="A66" s="39"/>
      <c r="B66" s="39"/>
      <c r="C66" s="39"/>
      <c r="D66" s="39"/>
      <c r="E66" s="39"/>
      <c r="F66" s="39" t="str">
        <f t="shared" si="5"/>
        <v/>
      </c>
      <c r="G66" s="39" t="str">
        <f t="shared" si="6"/>
        <v/>
      </c>
      <c r="H66" s="39" t="str">
        <f t="shared" si="7"/>
        <v/>
      </c>
      <c r="I66" s="39"/>
    </row>
    <row r="67" spans="1:9">
      <c r="A67" s="39"/>
      <c r="B67" s="39"/>
      <c r="C67" s="39"/>
      <c r="D67" s="39"/>
      <c r="E67" s="39"/>
      <c r="F67" s="39" t="str">
        <f t="shared" si="5"/>
        <v/>
      </c>
      <c r="G67" s="39" t="str">
        <f t="shared" si="6"/>
        <v/>
      </c>
      <c r="H67" s="39" t="str">
        <f t="shared" si="7"/>
        <v/>
      </c>
      <c r="I67" s="39"/>
    </row>
    <row r="68" spans="1:9">
      <c r="A68" s="39"/>
      <c r="B68" s="39"/>
      <c r="C68" s="39"/>
      <c r="D68" s="39"/>
      <c r="E68" s="39"/>
      <c r="F68" s="39" t="str">
        <f t="shared" si="5"/>
        <v/>
      </c>
      <c r="G68" s="39" t="str">
        <f t="shared" si="6"/>
        <v/>
      </c>
      <c r="H68" s="39" t="str">
        <f t="shared" si="7"/>
        <v/>
      </c>
      <c r="I68" s="39"/>
    </row>
    <row r="69" spans="1:9">
      <c r="A69" s="39"/>
      <c r="B69" s="39"/>
      <c r="C69" s="39"/>
      <c r="D69" s="39"/>
      <c r="E69" s="39"/>
      <c r="F69" s="39" t="str">
        <f t="shared" si="5"/>
        <v/>
      </c>
      <c r="G69" s="39" t="str">
        <f t="shared" si="6"/>
        <v/>
      </c>
      <c r="H69" s="39" t="str">
        <f t="shared" si="7"/>
        <v/>
      </c>
      <c r="I69" s="39"/>
    </row>
    <row r="70" spans="1:9">
      <c r="A70" s="39"/>
      <c r="B70" s="39"/>
      <c r="C70" s="39"/>
      <c r="D70" s="39"/>
      <c r="E70" s="39"/>
      <c r="F70" s="39" t="str">
        <f t="shared" ref="F70:F100" si="8">IF(OR(C70="",D70=""),"",ROUND((TIMEVALUE(D70)-TIMEVALUE(C70))*1440,0))</f>
        <v/>
      </c>
      <c r="G70" s="39" t="str">
        <f t="shared" ref="G70:G100" si="9">IF(B70="","",MONTH(B70))</f>
        <v/>
      </c>
      <c r="H70" s="39" t="str">
        <f t="shared" ref="H70:H100" si="10">IF(B70="","",YEAR(B70))</f>
        <v/>
      </c>
      <c r="I70" s="39"/>
    </row>
    <row r="71" spans="1:9">
      <c r="A71" s="39"/>
      <c r="B71" s="39"/>
      <c r="C71" s="39"/>
      <c r="D71" s="39"/>
      <c r="E71" s="39"/>
      <c r="F71" s="39" t="str">
        <f t="shared" si="8"/>
        <v/>
      </c>
      <c r="G71" s="39" t="str">
        <f t="shared" si="9"/>
        <v/>
      </c>
      <c r="H71" s="39" t="str">
        <f t="shared" si="10"/>
        <v/>
      </c>
      <c r="I71" s="39"/>
    </row>
    <row r="72" spans="1:9">
      <c r="A72" s="39"/>
      <c r="B72" s="39"/>
      <c r="C72" s="39"/>
      <c r="D72" s="39"/>
      <c r="E72" s="39"/>
      <c r="F72" s="39" t="str">
        <f t="shared" si="8"/>
        <v/>
      </c>
      <c r="G72" s="39" t="str">
        <f t="shared" si="9"/>
        <v/>
      </c>
      <c r="H72" s="39" t="str">
        <f t="shared" si="10"/>
        <v/>
      </c>
      <c r="I72" s="39"/>
    </row>
    <row r="73" spans="1:9">
      <c r="A73" s="39"/>
      <c r="B73" s="39"/>
      <c r="C73" s="39"/>
      <c r="D73" s="39"/>
      <c r="E73" s="39"/>
      <c r="F73" s="39" t="str">
        <f t="shared" si="8"/>
        <v/>
      </c>
      <c r="G73" s="39" t="str">
        <f t="shared" si="9"/>
        <v/>
      </c>
      <c r="H73" s="39" t="str">
        <f t="shared" si="10"/>
        <v/>
      </c>
      <c r="I73" s="39"/>
    </row>
    <row r="74" spans="1:9">
      <c r="A74" s="39"/>
      <c r="B74" s="39"/>
      <c r="C74" s="39"/>
      <c r="D74" s="39"/>
      <c r="E74" s="39"/>
      <c r="F74" s="39" t="str">
        <f t="shared" si="8"/>
        <v/>
      </c>
      <c r="G74" s="39" t="str">
        <f t="shared" si="9"/>
        <v/>
      </c>
      <c r="H74" s="39" t="str">
        <f t="shared" si="10"/>
        <v/>
      </c>
      <c r="I74" s="39"/>
    </row>
    <row r="75" spans="1:9">
      <c r="A75" s="39"/>
      <c r="B75" s="39"/>
      <c r="C75" s="39"/>
      <c r="D75" s="39"/>
      <c r="E75" s="39"/>
      <c r="F75" s="39" t="str">
        <f t="shared" si="8"/>
        <v/>
      </c>
      <c r="G75" s="39" t="str">
        <f t="shared" si="9"/>
        <v/>
      </c>
      <c r="H75" s="39" t="str">
        <f t="shared" si="10"/>
        <v/>
      </c>
      <c r="I75" s="39"/>
    </row>
    <row r="76" spans="1:9">
      <c r="A76" s="39"/>
      <c r="B76" s="39"/>
      <c r="C76" s="39"/>
      <c r="D76" s="39"/>
      <c r="E76" s="39"/>
      <c r="F76" s="39" t="str">
        <f t="shared" si="8"/>
        <v/>
      </c>
      <c r="G76" s="39" t="str">
        <f t="shared" si="9"/>
        <v/>
      </c>
      <c r="H76" s="39" t="str">
        <f t="shared" si="10"/>
        <v/>
      </c>
      <c r="I76" s="39"/>
    </row>
    <row r="77" spans="1:9">
      <c r="A77" s="39"/>
      <c r="B77" s="39"/>
      <c r="C77" s="39"/>
      <c r="D77" s="39"/>
      <c r="E77" s="39"/>
      <c r="F77" s="39" t="str">
        <f t="shared" si="8"/>
        <v/>
      </c>
      <c r="G77" s="39" t="str">
        <f t="shared" si="9"/>
        <v/>
      </c>
      <c r="H77" s="39" t="str">
        <f t="shared" si="10"/>
        <v/>
      </c>
      <c r="I77" s="39"/>
    </row>
    <row r="78" spans="1:9">
      <c r="A78" s="39"/>
      <c r="B78" s="39"/>
      <c r="C78" s="39"/>
      <c r="D78" s="39"/>
      <c r="E78" s="39"/>
      <c r="F78" s="39" t="str">
        <f t="shared" si="8"/>
        <v/>
      </c>
      <c r="G78" s="39" t="str">
        <f t="shared" si="9"/>
        <v/>
      </c>
      <c r="H78" s="39" t="str">
        <f t="shared" si="10"/>
        <v/>
      </c>
      <c r="I78" s="39"/>
    </row>
    <row r="79" spans="1:9">
      <c r="A79" s="39"/>
      <c r="B79" s="39"/>
      <c r="C79" s="39"/>
      <c r="D79" s="39"/>
      <c r="E79" s="39"/>
      <c r="F79" s="39" t="str">
        <f t="shared" si="8"/>
        <v/>
      </c>
      <c r="G79" s="39" t="str">
        <f t="shared" si="9"/>
        <v/>
      </c>
      <c r="H79" s="39" t="str">
        <f t="shared" si="10"/>
        <v/>
      </c>
      <c r="I79" s="39"/>
    </row>
    <row r="80" spans="1:9">
      <c r="A80" s="39"/>
      <c r="B80" s="39"/>
      <c r="C80" s="39"/>
      <c r="D80" s="39"/>
      <c r="E80" s="39"/>
      <c r="F80" s="39" t="str">
        <f t="shared" si="8"/>
        <v/>
      </c>
      <c r="G80" s="39" t="str">
        <f t="shared" si="9"/>
        <v/>
      </c>
      <c r="H80" s="39" t="str">
        <f t="shared" si="10"/>
        <v/>
      </c>
      <c r="I80" s="39"/>
    </row>
    <row r="81" spans="1:9">
      <c r="A81" s="39"/>
      <c r="B81" s="39"/>
      <c r="C81" s="39"/>
      <c r="D81" s="39"/>
      <c r="E81" s="39"/>
      <c r="F81" s="39" t="str">
        <f t="shared" si="8"/>
        <v/>
      </c>
      <c r="G81" s="39" t="str">
        <f t="shared" si="9"/>
        <v/>
      </c>
      <c r="H81" s="39" t="str">
        <f t="shared" si="10"/>
        <v/>
      </c>
      <c r="I81" s="39"/>
    </row>
    <row r="82" spans="1:9">
      <c r="A82" s="39"/>
      <c r="B82" s="39"/>
      <c r="C82" s="39"/>
      <c r="D82" s="39"/>
      <c r="E82" s="39"/>
      <c r="F82" s="39" t="str">
        <f t="shared" si="8"/>
        <v/>
      </c>
      <c r="G82" s="39" t="str">
        <f t="shared" si="9"/>
        <v/>
      </c>
      <c r="H82" s="39" t="str">
        <f t="shared" si="10"/>
        <v/>
      </c>
      <c r="I82" s="39"/>
    </row>
    <row r="83" spans="1:9">
      <c r="A83" s="39"/>
      <c r="B83" s="39"/>
      <c r="C83" s="39"/>
      <c r="D83" s="39"/>
      <c r="E83" s="39"/>
      <c r="F83" s="39" t="str">
        <f t="shared" si="8"/>
        <v/>
      </c>
      <c r="G83" s="39" t="str">
        <f t="shared" si="9"/>
        <v/>
      </c>
      <c r="H83" s="39" t="str">
        <f t="shared" si="10"/>
        <v/>
      </c>
      <c r="I83" s="39"/>
    </row>
    <row r="84" spans="1:9">
      <c r="A84" s="39"/>
      <c r="B84" s="39"/>
      <c r="C84" s="39"/>
      <c r="D84" s="39"/>
      <c r="E84" s="39"/>
      <c r="F84" s="39" t="str">
        <f t="shared" si="8"/>
        <v/>
      </c>
      <c r="G84" s="39" t="str">
        <f t="shared" si="9"/>
        <v/>
      </c>
      <c r="H84" s="39" t="str">
        <f t="shared" si="10"/>
        <v/>
      </c>
      <c r="I84" s="39"/>
    </row>
    <row r="85" spans="1:9">
      <c r="A85" s="39"/>
      <c r="B85" s="39"/>
      <c r="C85" s="39"/>
      <c r="D85" s="39"/>
      <c r="E85" s="39"/>
      <c r="F85" s="39" t="str">
        <f t="shared" si="8"/>
        <v/>
      </c>
      <c r="G85" s="39" t="str">
        <f t="shared" si="9"/>
        <v/>
      </c>
      <c r="H85" s="39" t="str">
        <f t="shared" si="10"/>
        <v/>
      </c>
      <c r="I85" s="39"/>
    </row>
    <row r="86" spans="1:9">
      <c r="A86" s="39"/>
      <c r="B86" s="39"/>
      <c r="C86" s="39"/>
      <c r="D86" s="39"/>
      <c r="E86" s="39"/>
      <c r="F86" s="39" t="str">
        <f t="shared" si="8"/>
        <v/>
      </c>
      <c r="G86" s="39" t="str">
        <f t="shared" si="9"/>
        <v/>
      </c>
      <c r="H86" s="39" t="str">
        <f t="shared" si="10"/>
        <v/>
      </c>
      <c r="I86" s="39"/>
    </row>
    <row r="87" spans="1:9">
      <c r="A87" s="39"/>
      <c r="B87" s="39"/>
      <c r="C87" s="39"/>
      <c r="D87" s="39"/>
      <c r="E87" s="39"/>
      <c r="F87" s="39" t="str">
        <f t="shared" si="8"/>
        <v/>
      </c>
      <c r="G87" s="39" t="str">
        <f t="shared" si="9"/>
        <v/>
      </c>
      <c r="H87" s="39" t="str">
        <f t="shared" si="10"/>
        <v/>
      </c>
      <c r="I87" s="39"/>
    </row>
    <row r="88" spans="1:9">
      <c r="A88" s="39"/>
      <c r="B88" s="39"/>
      <c r="C88" s="39"/>
      <c r="D88" s="39"/>
      <c r="E88" s="39"/>
      <c r="F88" s="39" t="str">
        <f t="shared" si="8"/>
        <v/>
      </c>
      <c r="G88" s="39" t="str">
        <f t="shared" si="9"/>
        <v/>
      </c>
      <c r="H88" s="39" t="str">
        <f t="shared" si="10"/>
        <v/>
      </c>
      <c r="I88" s="39"/>
    </row>
    <row r="89" spans="1:9">
      <c r="A89" s="39"/>
      <c r="B89" s="39"/>
      <c r="C89" s="39"/>
      <c r="D89" s="39"/>
      <c r="E89" s="39"/>
      <c r="F89" s="39" t="str">
        <f t="shared" si="8"/>
        <v/>
      </c>
      <c r="G89" s="39" t="str">
        <f t="shared" si="9"/>
        <v/>
      </c>
      <c r="H89" s="39" t="str">
        <f t="shared" si="10"/>
        <v/>
      </c>
      <c r="I89" s="39"/>
    </row>
    <row r="90" spans="1:9">
      <c r="A90" s="39"/>
      <c r="B90" s="39"/>
      <c r="C90" s="39"/>
      <c r="D90" s="39"/>
      <c r="E90" s="39"/>
      <c r="F90" s="39" t="str">
        <f t="shared" si="8"/>
        <v/>
      </c>
      <c r="G90" s="39" t="str">
        <f t="shared" si="9"/>
        <v/>
      </c>
      <c r="H90" s="39" t="str">
        <f t="shared" si="10"/>
        <v/>
      </c>
      <c r="I90" s="39"/>
    </row>
    <row r="91" spans="1:9">
      <c r="A91" s="39"/>
      <c r="B91" s="39"/>
      <c r="C91" s="39"/>
      <c r="D91" s="39"/>
      <c r="E91" s="39"/>
      <c r="F91" s="39" t="str">
        <f t="shared" si="8"/>
        <v/>
      </c>
      <c r="G91" s="39" t="str">
        <f t="shared" si="9"/>
        <v/>
      </c>
      <c r="H91" s="39" t="str">
        <f t="shared" si="10"/>
        <v/>
      </c>
      <c r="I91" s="39"/>
    </row>
    <row r="92" spans="1:9">
      <c r="A92" s="39"/>
      <c r="B92" s="39"/>
      <c r="C92" s="39"/>
      <c r="D92" s="39"/>
      <c r="E92" s="39"/>
      <c r="F92" s="39" t="str">
        <f t="shared" si="8"/>
        <v/>
      </c>
      <c r="G92" s="39" t="str">
        <f t="shared" si="9"/>
        <v/>
      </c>
      <c r="H92" s="39" t="str">
        <f t="shared" si="10"/>
        <v/>
      </c>
      <c r="I92" s="39"/>
    </row>
    <row r="93" spans="1:9">
      <c r="A93" s="39"/>
      <c r="B93" s="39"/>
      <c r="C93" s="39"/>
      <c r="D93" s="39"/>
      <c r="E93" s="39"/>
      <c r="F93" s="39" t="str">
        <f t="shared" si="8"/>
        <v/>
      </c>
      <c r="G93" s="39" t="str">
        <f t="shared" si="9"/>
        <v/>
      </c>
      <c r="H93" s="39" t="str">
        <f t="shared" si="10"/>
        <v/>
      </c>
      <c r="I93" s="39"/>
    </row>
    <row r="94" spans="1:9">
      <c r="A94" s="39"/>
      <c r="B94" s="39"/>
      <c r="C94" s="39"/>
      <c r="D94" s="39"/>
      <c r="E94" s="39"/>
      <c r="F94" s="39" t="str">
        <f t="shared" si="8"/>
        <v/>
      </c>
      <c r="G94" s="39" t="str">
        <f t="shared" si="9"/>
        <v/>
      </c>
      <c r="H94" s="39" t="str">
        <f t="shared" si="10"/>
        <v/>
      </c>
      <c r="I94" s="39"/>
    </row>
    <row r="95" spans="1:9">
      <c r="A95" s="39"/>
      <c r="B95" s="39"/>
      <c r="C95" s="39"/>
      <c r="D95" s="39"/>
      <c r="E95" s="39"/>
      <c r="F95" s="39" t="str">
        <f t="shared" si="8"/>
        <v/>
      </c>
      <c r="G95" s="39" t="str">
        <f t="shared" si="9"/>
        <v/>
      </c>
      <c r="H95" s="39" t="str">
        <f t="shared" si="10"/>
        <v/>
      </c>
      <c r="I95" s="39"/>
    </row>
    <row r="96" spans="1:9">
      <c r="A96" s="39"/>
      <c r="B96" s="39"/>
      <c r="C96" s="39"/>
      <c r="D96" s="39"/>
      <c r="E96" s="39"/>
      <c r="F96" s="39" t="str">
        <f t="shared" si="8"/>
        <v/>
      </c>
      <c r="G96" s="39" t="str">
        <f t="shared" si="9"/>
        <v/>
      </c>
      <c r="H96" s="39" t="str">
        <f t="shared" si="10"/>
        <v/>
      </c>
      <c r="I96" s="39"/>
    </row>
    <row r="97" spans="1:9">
      <c r="A97" s="39"/>
      <c r="B97" s="39"/>
      <c r="C97" s="39"/>
      <c r="D97" s="39"/>
      <c r="E97" s="39"/>
      <c r="F97" s="39" t="str">
        <f t="shared" si="8"/>
        <v/>
      </c>
      <c r="G97" s="39" t="str">
        <f t="shared" si="9"/>
        <v/>
      </c>
      <c r="H97" s="39" t="str">
        <f t="shared" si="10"/>
        <v/>
      </c>
      <c r="I97" s="39"/>
    </row>
    <row r="98" spans="1:9">
      <c r="A98" s="39"/>
      <c r="B98" s="39"/>
      <c r="C98" s="39"/>
      <c r="D98" s="39"/>
      <c r="E98" s="39"/>
      <c r="F98" s="39" t="str">
        <f t="shared" si="8"/>
        <v/>
      </c>
      <c r="G98" s="39" t="str">
        <f t="shared" si="9"/>
        <v/>
      </c>
      <c r="H98" s="39" t="str">
        <f t="shared" si="10"/>
        <v/>
      </c>
      <c r="I98" s="39"/>
    </row>
    <row r="99" spans="1:9">
      <c r="A99" s="39"/>
      <c r="B99" s="39"/>
      <c r="C99" s="39"/>
      <c r="D99" s="39"/>
      <c r="E99" s="39"/>
      <c r="F99" s="39" t="str">
        <f t="shared" si="8"/>
        <v/>
      </c>
      <c r="G99" s="39" t="str">
        <f t="shared" si="9"/>
        <v/>
      </c>
      <c r="H99" s="39" t="str">
        <f t="shared" si="10"/>
        <v/>
      </c>
      <c r="I99" s="39"/>
    </row>
    <row r="100" spans="1:9">
      <c r="A100" s="39"/>
      <c r="B100" s="39"/>
      <c r="C100" s="39"/>
      <c r="D100" s="39"/>
      <c r="E100" s="39"/>
      <c r="F100" s="39" t="str">
        <f t="shared" si="8"/>
        <v/>
      </c>
      <c r="G100" s="39" t="str">
        <f t="shared" si="9"/>
        <v/>
      </c>
      <c r="H100" s="39" t="str">
        <f t="shared" si="10"/>
        <v/>
      </c>
      <c r="I100" s="39"/>
    </row>
  </sheetData>
  <mergeCells count="3">
    <mergeCell ref="A1:I1"/>
    <mergeCell ref="K5:N5"/>
    <mergeCell ref="A2:I2"/>
  </mergeCell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Valor inválido" error="Selecione um valor da lista." xr:uid="{00000000-0002-0000-0E00-000000000000}">
          <x14:formula1>
            <xm:f>BD_ALUNOS!$C$2:$C$200</xm:f>
          </x14:formula1>
          <xm:sqref>A6:A100</xm:sqref>
        </x14:dataValidation>
        <x14:dataValidation type="list" allowBlank="1" showErrorMessage="1" errorTitle="Valor inválido" error="Selecione um valor da lista." xr:uid="{00000000-0002-0000-0E00-000001000000}">
          <x14:formula1>
            <xm:f>'08_PROFESSORES'!$B$6:$B$50</xm:f>
          </x14:formula1>
          <xm:sqref>E6:E100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tabColor rgb="FFD4AF37"/>
  </sheetPr>
  <dimension ref="A1:M40"/>
  <sheetViews>
    <sheetView showGridLines="0" workbookViewId="0"/>
  </sheetViews>
  <sheetFormatPr defaultRowHeight="14.4"/>
  <cols>
    <col min="1" max="1" width="24" customWidth="1"/>
    <col min="2" max="2" width="2" customWidth="1"/>
    <col min="3" max="10" width="13" customWidth="1"/>
    <col min="11" max="11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58">
        <f>COUNTIF(BD_ALUNOS!U:U,"Ativo")</f>
        <v>0</v>
      </c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371</v>
      </c>
      <c r="D5" s="87"/>
      <c r="E5" s="87"/>
      <c r="F5" s="87"/>
      <c r="G5" s="7"/>
      <c r="H5" s="7"/>
      <c r="I5" s="7"/>
      <c r="J5" s="7"/>
      <c r="K5" s="7"/>
      <c r="L5" s="7"/>
      <c r="M5" s="59">
        <f>'04_FINANCEIRO'!N14</f>
        <v>0</v>
      </c>
    </row>
    <row r="6" spans="1:13" ht="34.049999999999997" customHeight="1">
      <c r="A6" s="60">
        <f>'04_FINANCEIRO'!N6</f>
        <v>0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16.05" customHeight="1">
      <c r="A7" s="17"/>
      <c r="B7" s="7"/>
      <c r="C7" s="130" t="s">
        <v>372</v>
      </c>
      <c r="D7" s="128"/>
      <c r="E7" s="130" t="s">
        <v>373</v>
      </c>
      <c r="F7" s="128"/>
      <c r="G7" s="130" t="s">
        <v>374</v>
      </c>
      <c r="H7" s="128"/>
      <c r="I7" s="130" t="s">
        <v>375</v>
      </c>
      <c r="J7" s="128"/>
      <c r="K7" s="7"/>
      <c r="L7" s="7"/>
      <c r="M7" s="7"/>
    </row>
    <row r="8" spans="1:13" ht="19.95" customHeight="1">
      <c r="A8" s="17"/>
      <c r="B8" s="7"/>
      <c r="C8" s="127">
        <f>BI_BASE!E12</f>
        <v>0</v>
      </c>
      <c r="D8" s="128"/>
      <c r="E8" s="127">
        <f>BI_BASE!E13</f>
        <v>0</v>
      </c>
      <c r="F8" s="128"/>
      <c r="G8" s="127">
        <f>BI_BASE!E14</f>
        <v>0</v>
      </c>
      <c r="H8" s="128"/>
      <c r="I8" s="127">
        <f>BI_BASE!E4</f>
        <v>0</v>
      </c>
      <c r="J8" s="128"/>
      <c r="K8" s="7"/>
      <c r="L8" s="7"/>
      <c r="M8" s="7"/>
    </row>
    <row r="9" spans="1:13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</row>
    <row r="10" spans="1:13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16.05" customHeight="1">
      <c r="A11" s="17"/>
      <c r="B11" s="7"/>
      <c r="C11" s="130" t="s">
        <v>376</v>
      </c>
      <c r="D11" s="128"/>
      <c r="E11" s="130" t="s">
        <v>377</v>
      </c>
      <c r="F11" s="128"/>
      <c r="G11" s="130" t="s">
        <v>378</v>
      </c>
      <c r="H11" s="128"/>
      <c r="I11" s="130" t="s">
        <v>379</v>
      </c>
      <c r="J11" s="128"/>
      <c r="K11" s="7"/>
      <c r="L11" s="7"/>
      <c r="M11" s="7"/>
    </row>
    <row r="12" spans="1:13" ht="19.95" customHeight="1">
      <c r="A12" s="17">
        <f>COUNTIF(BD_ALUNOS!U:U,"Ativo")</f>
        <v>0</v>
      </c>
      <c r="B12" s="7"/>
      <c r="C12" s="127">
        <f>BI_BASE!E11</f>
        <v>0</v>
      </c>
      <c r="D12" s="128"/>
      <c r="E12" s="127">
        <f>BI_BASE!E15</f>
        <v>0</v>
      </c>
      <c r="F12" s="128"/>
      <c r="G12" s="127">
        <f>BI_BASE!E16</f>
        <v>0</v>
      </c>
      <c r="H12" s="128"/>
      <c r="I12" s="129">
        <f>BI_BASE!E10</f>
        <v>0</v>
      </c>
      <c r="J12" s="128"/>
      <c r="K12" s="7"/>
      <c r="L12" s="7"/>
      <c r="M12" s="7"/>
    </row>
    <row r="13" spans="1:13" ht="16.05" customHeight="1">
      <c r="A13" s="17"/>
      <c r="B13" s="7"/>
      <c r="C13" s="128"/>
      <c r="D13" s="128"/>
      <c r="E13" s="128"/>
      <c r="F13" s="128"/>
      <c r="G13" s="128"/>
      <c r="H13" s="128"/>
      <c r="I13" s="128"/>
      <c r="J13" s="128"/>
      <c r="K13" s="7"/>
      <c r="L13" s="7"/>
      <c r="M13" s="7"/>
    </row>
    <row r="14" spans="1:13" ht="34.049999999999997" customHeight="1">
      <c r="A14" s="1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34.049999999999997" customHeight="1">
      <c r="A15" s="1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34.049999999999997" customHeight="1">
      <c r="A16" s="17"/>
      <c r="B16" s="7"/>
      <c r="C16" s="18" t="s">
        <v>57</v>
      </c>
      <c r="D16" s="18" t="s">
        <v>58</v>
      </c>
      <c r="E16" s="18" t="s">
        <v>59</v>
      </c>
      <c r="F16" s="18" t="s">
        <v>60</v>
      </c>
      <c r="G16" s="7"/>
      <c r="H16" s="7"/>
      <c r="I16" s="7"/>
      <c r="J16" s="7"/>
      <c r="K16" s="7"/>
      <c r="L16" s="7"/>
      <c r="M16" s="7"/>
    </row>
    <row r="17" spans="1:13" ht="34.049999999999997" customHeight="1">
      <c r="A17" s="17"/>
      <c r="B17" s="7"/>
      <c r="C17" s="19" t="s">
        <v>380</v>
      </c>
      <c r="D17" s="61">
        <f>SUMIFS(BD_LANCAMENTOS!H:H,BD_LANCAMENTOS!B:B,"&gt;="&amp;DATE(2026,2,1),BD_LANCAMENTOS!B:B,"&lt;"&amp;DATE(2026,3,1))</f>
        <v>0</v>
      </c>
      <c r="E17" s="61">
        <f>SUMIFS(BD_LANCAMENTOS!G:G,BD_LANCAMENTOS!B:B,"&gt;="&amp;DATE(2026,2,1),BD_LANCAMENTOS!B:B,"&lt;"&amp;DATE(2026,3,1))</f>
        <v>0</v>
      </c>
      <c r="F17" s="61">
        <f t="shared" ref="F17:F22" si="0">D17-E17</f>
        <v>0</v>
      </c>
      <c r="G17" s="7"/>
      <c r="H17" s="7"/>
      <c r="I17" s="7"/>
      <c r="J17" s="7"/>
      <c r="K17" s="7"/>
      <c r="L17" s="7"/>
      <c r="M17" s="7"/>
    </row>
    <row r="18" spans="1:13" ht="34.049999999999997" customHeight="1">
      <c r="A18" s="17"/>
      <c r="B18" s="7"/>
      <c r="C18" s="19" t="s">
        <v>381</v>
      </c>
      <c r="D18" s="61">
        <f>SUMIFS(BD_LANCAMENTOS!H:H,BD_LANCAMENTOS!B:B,"&gt;="&amp;DATE(2026,3,1),BD_LANCAMENTOS!B:B,"&lt;"&amp;DATE(2026,4,1))</f>
        <v>0</v>
      </c>
      <c r="E18" s="61">
        <f>SUMIFS(BD_LANCAMENTOS!G:G,BD_LANCAMENTOS!B:B,"&gt;="&amp;DATE(2026,3,1),BD_LANCAMENTOS!B:B,"&lt;"&amp;DATE(2026,4,1))</f>
        <v>0</v>
      </c>
      <c r="F18" s="61">
        <f t="shared" si="0"/>
        <v>0</v>
      </c>
      <c r="G18" s="7"/>
      <c r="H18" s="7"/>
      <c r="I18" s="7"/>
      <c r="J18" s="7"/>
      <c r="K18" s="7"/>
      <c r="L18" s="7"/>
      <c r="M18" s="7"/>
    </row>
    <row r="19" spans="1:13" ht="34.049999999999997" customHeight="1">
      <c r="A19" s="17"/>
      <c r="B19" s="7"/>
      <c r="C19" s="19" t="s">
        <v>382</v>
      </c>
      <c r="D19" s="61">
        <f>SUMIFS(BD_LANCAMENTOS!H:H,BD_LANCAMENTOS!B:B,"&gt;="&amp;DATE(2026,4,1),BD_LANCAMENTOS!B:B,"&lt;"&amp;DATE(2026,5,1))</f>
        <v>0</v>
      </c>
      <c r="E19" s="61">
        <f>SUMIFS(BD_LANCAMENTOS!G:G,BD_LANCAMENTOS!B:B,"&gt;="&amp;DATE(2026,4,1),BD_LANCAMENTOS!B:B,"&lt;"&amp;DATE(2026,5,1))</f>
        <v>0</v>
      </c>
      <c r="F19" s="61">
        <f t="shared" si="0"/>
        <v>0</v>
      </c>
      <c r="G19" s="7"/>
      <c r="H19" s="7"/>
      <c r="I19" s="7"/>
      <c r="J19" s="7"/>
      <c r="K19" s="7"/>
      <c r="L19" s="7"/>
      <c r="M19" s="7"/>
    </row>
    <row r="20" spans="1:13" ht="34.049999999999997" customHeight="1">
      <c r="A20" s="15"/>
      <c r="B20" s="7"/>
      <c r="C20" s="19" t="s">
        <v>383</v>
      </c>
      <c r="D20" s="61">
        <f>SUMIFS(BD_LANCAMENTOS!H:H,BD_LANCAMENTOS!B:B,"&gt;="&amp;DATE(2026,5,1),BD_LANCAMENTOS!B:B,"&lt;"&amp;DATE(2026,6,1))</f>
        <v>0</v>
      </c>
      <c r="E20" s="61">
        <f>SUMIFS(BD_LANCAMENTOS!G:G,BD_LANCAMENTOS!B:B,"&gt;="&amp;DATE(2026,5,1),BD_LANCAMENTOS!B:B,"&lt;"&amp;DATE(2026,6,1))</f>
        <v>0</v>
      </c>
      <c r="F20" s="61">
        <f t="shared" si="0"/>
        <v>0</v>
      </c>
      <c r="G20" s="7"/>
      <c r="H20" s="7"/>
      <c r="I20" s="7"/>
      <c r="J20" s="7"/>
      <c r="K20" s="7"/>
      <c r="L20" s="7"/>
      <c r="M20" s="7"/>
    </row>
    <row r="21" spans="1:13" ht="34.049999999999997" customHeight="1">
      <c r="A21" s="17"/>
      <c r="B21" s="7"/>
      <c r="C21" s="19" t="s">
        <v>384</v>
      </c>
      <c r="D21" s="61">
        <f>SUMIFS(BD_LANCAMENTOS!H:H,BD_LANCAMENTOS!B:B,"&gt;="&amp;DATE(2026,6,1),BD_LANCAMENTOS!B:B,"&lt;"&amp;DATE(2026,7,1))</f>
        <v>0</v>
      </c>
      <c r="E21" s="61">
        <f>SUMIFS(BD_LANCAMENTOS!G:G,BD_LANCAMENTOS!B:B,"&gt;="&amp;DATE(2026,6,1),BD_LANCAMENTOS!B:B,"&lt;"&amp;DATE(2026,7,1))</f>
        <v>0</v>
      </c>
      <c r="F21" s="61">
        <f t="shared" si="0"/>
        <v>0</v>
      </c>
      <c r="G21" s="7"/>
      <c r="H21" s="7"/>
      <c r="I21" s="7"/>
      <c r="J21" s="7"/>
      <c r="K21" s="7"/>
      <c r="L21" s="7"/>
      <c r="M21" s="7"/>
    </row>
    <row r="22" spans="1:13" ht="34.049999999999997" customHeight="1">
      <c r="A22" s="17"/>
      <c r="B22" s="7"/>
      <c r="C22" s="19" t="s">
        <v>385</v>
      </c>
      <c r="D22" s="61">
        <f>SUMIFS(BD_LANCAMENTOS!H:H,BD_LANCAMENTOS!B:B,"&gt;="&amp;DATE(2026,7,1),BD_LANCAMENTOS!B:B,"&lt;"&amp;DATE(2026,8,1))</f>
        <v>0</v>
      </c>
      <c r="E22" s="61">
        <f>SUMIFS(BD_LANCAMENTOS!G:G,BD_LANCAMENTOS!B:B,"&gt;="&amp;DATE(2026,7,1),BD_LANCAMENTOS!B:B,"&lt;"&amp;DATE(2026,8,1))</f>
        <v>0</v>
      </c>
      <c r="F22" s="61">
        <f t="shared" si="0"/>
        <v>0</v>
      </c>
      <c r="G22" s="7"/>
      <c r="H22" s="7"/>
      <c r="I22" s="7"/>
      <c r="J22" s="7"/>
      <c r="K22" s="7"/>
      <c r="L22" s="7"/>
      <c r="M22" s="7"/>
    </row>
    <row r="23" spans="1:13" ht="34.049999999999997" customHeight="1">
      <c r="A23" s="1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>
      <c r="A24" s="5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>
      <c r="A25" s="5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13">
      <c r="A27" s="5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13">
      <c r="A28" s="5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</row>
    <row r="29" spans="1:13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</row>
    <row r="30" spans="1:13">
      <c r="A30" s="5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13">
      <c r="A31" s="5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</row>
    <row r="32" spans="1:13">
      <c r="A32" s="5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</row>
    <row r="33" spans="1:13">
      <c r="A33" s="5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13">
      <c r="A34" s="5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</row>
    <row r="35" spans="1:13">
      <c r="A35" s="5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</row>
    <row r="36" spans="1:13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1:13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</sheetData>
  <mergeCells count="19">
    <mergeCell ref="G7:H7"/>
    <mergeCell ref="C1:J1"/>
    <mergeCell ref="I7:J7"/>
    <mergeCell ref="C5:F5"/>
    <mergeCell ref="E12:F13"/>
    <mergeCell ref="G12:H13"/>
    <mergeCell ref="C11:D11"/>
    <mergeCell ref="E11:F11"/>
    <mergeCell ref="C2:J2"/>
    <mergeCell ref="E8:F9"/>
    <mergeCell ref="G8:H9"/>
    <mergeCell ref="C7:D7"/>
    <mergeCell ref="E7:F7"/>
    <mergeCell ref="C12:D13"/>
    <mergeCell ref="I12:J13"/>
    <mergeCell ref="G11:H11"/>
    <mergeCell ref="I11:J11"/>
    <mergeCell ref="I8:J9"/>
    <mergeCell ref="C8:D9"/>
  </mergeCells>
  <pageMargins left="0.75" right="0.75" top="1" bottom="1" header="0.5" footer="0.5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>
    <tabColor rgb="FFD4AF37"/>
  </sheetPr>
  <dimension ref="A1:L40"/>
  <sheetViews>
    <sheetView showGridLines="0" workbookViewId="0"/>
  </sheetViews>
  <sheetFormatPr defaultRowHeight="14.4"/>
  <cols>
    <col min="1" max="1" width="24" customWidth="1"/>
    <col min="2" max="2" width="2" customWidth="1"/>
    <col min="3" max="9" width="13" customWidth="1"/>
    <col min="10" max="10" width="12" customWidth="1"/>
  </cols>
  <sheetData>
    <row r="1" spans="1:12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1"/>
      <c r="K1" s="6" t="s">
        <v>7</v>
      </c>
      <c r="L1" s="7"/>
    </row>
    <row r="2" spans="1:12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9"/>
      <c r="K2" s="10" t="str">
        <f ca="1">TEXT(DAY(NOW()),"00")&amp;"/"&amp;TEXT(MONTH(NOW()),"00")&amp;"/"&amp;YEAR(NOW())&amp;" "&amp;TEXT(HOUR(NOW()),"00")&amp;":"&amp;TEXT(MINUTE(NOW()),"00")</f>
        <v>22/07/2026 14:42</v>
      </c>
      <c r="L2" s="7"/>
    </row>
    <row r="3" spans="1:12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58">
        <f>COUNTIF(BD_ALUNOS!U:U,"Ativo")</f>
        <v>0</v>
      </c>
      <c r="K3" s="4"/>
      <c r="L3" s="7"/>
    </row>
    <row r="4" spans="1:12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1:12" ht="22.8">
      <c r="A5" s="5"/>
      <c r="B5" s="7"/>
      <c r="C5" s="98" t="s">
        <v>386</v>
      </c>
      <c r="D5" s="87"/>
      <c r="E5" s="87"/>
      <c r="F5" s="87"/>
      <c r="G5" s="7"/>
      <c r="H5" s="7"/>
      <c r="I5" s="7"/>
      <c r="J5" s="7"/>
      <c r="K5" s="7"/>
      <c r="L5" s="7"/>
    </row>
    <row r="6" spans="1:12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2" ht="16.05" customHeight="1">
      <c r="A7" s="17"/>
      <c r="B7" s="7"/>
      <c r="C7" s="130" t="s">
        <v>387</v>
      </c>
      <c r="D7" s="128"/>
      <c r="E7" s="130" t="s">
        <v>388</v>
      </c>
      <c r="F7" s="128"/>
      <c r="G7" s="130" t="s">
        <v>389</v>
      </c>
      <c r="H7" s="128"/>
      <c r="I7" s="130" t="s">
        <v>390</v>
      </c>
      <c r="J7" s="128"/>
      <c r="K7" s="7"/>
      <c r="L7" s="7"/>
    </row>
    <row r="8" spans="1:12" ht="19.95" customHeight="1">
      <c r="A8" s="17"/>
      <c r="B8" s="7"/>
      <c r="C8" s="131">
        <f>BI_BASE!E19</f>
        <v>0</v>
      </c>
      <c r="D8" s="128"/>
      <c r="E8" s="131">
        <f>BI_BASE!E18</f>
        <v>0</v>
      </c>
      <c r="F8" s="128"/>
      <c r="G8" s="131">
        <f>BI_BASE!E7</f>
        <v>0</v>
      </c>
      <c r="H8" s="128"/>
      <c r="I8" s="131">
        <f>BI_BASE!E17</f>
        <v>0</v>
      </c>
      <c r="J8" s="128"/>
      <c r="K8" s="7"/>
      <c r="L8" s="7"/>
    </row>
    <row r="9" spans="1:12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</row>
    <row r="10" spans="1:12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</row>
    <row r="11" spans="1:12" ht="16.05" customHeight="1">
      <c r="A11" s="17"/>
      <c r="B11" s="7"/>
      <c r="C11" s="130" t="s">
        <v>391</v>
      </c>
      <c r="D11" s="128"/>
      <c r="E11" s="130" t="s">
        <v>392</v>
      </c>
      <c r="F11" s="128"/>
      <c r="G11" s="130" t="s">
        <v>393</v>
      </c>
      <c r="H11" s="128"/>
      <c r="I11" s="130" t="s">
        <v>394</v>
      </c>
      <c r="J11" s="128"/>
      <c r="K11" s="7"/>
      <c r="L11" s="7"/>
    </row>
    <row r="12" spans="1:12" ht="19.95" customHeight="1">
      <c r="A12" s="17"/>
      <c r="B12" s="7"/>
      <c r="C12" s="131">
        <f>BI_BASE!E5</f>
        <v>0</v>
      </c>
      <c r="D12" s="128"/>
      <c r="E12" s="131">
        <f>BI_BASE!E6</f>
        <v>0</v>
      </c>
      <c r="F12" s="128"/>
      <c r="G12" s="129">
        <f>BI_BASE!E20</f>
        <v>0</v>
      </c>
      <c r="H12" s="128"/>
      <c r="I12" s="129">
        <f>BI_BASE!E8</f>
        <v>0</v>
      </c>
      <c r="J12" s="128"/>
      <c r="K12" s="7"/>
      <c r="L12" s="7"/>
    </row>
    <row r="13" spans="1:12" ht="16.05" customHeight="1">
      <c r="A13" s="17"/>
      <c r="B13" s="7"/>
      <c r="C13" s="128"/>
      <c r="D13" s="128"/>
      <c r="E13" s="128"/>
      <c r="F13" s="128"/>
      <c r="G13" s="128"/>
      <c r="H13" s="128"/>
      <c r="I13" s="128"/>
      <c r="J13" s="128"/>
      <c r="K13" s="7"/>
      <c r="L13" s="7"/>
    </row>
    <row r="14" spans="1:12" ht="34.049999999999997" customHeight="1">
      <c r="A14" s="15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</row>
    <row r="15" spans="1:12" ht="16.05" customHeight="1">
      <c r="A15" s="17"/>
      <c r="B15" s="7"/>
      <c r="C15" s="130" t="s">
        <v>395</v>
      </c>
      <c r="D15" s="128"/>
      <c r="E15" s="130" t="s">
        <v>396</v>
      </c>
      <c r="F15" s="128"/>
      <c r="G15" s="130" t="s">
        <v>397</v>
      </c>
      <c r="H15" s="128"/>
      <c r="I15" s="7"/>
      <c r="J15" s="7"/>
      <c r="K15" s="7"/>
      <c r="L15" s="7"/>
    </row>
    <row r="16" spans="1:12" ht="19.95" customHeight="1">
      <c r="A16" s="17"/>
      <c r="B16" s="7"/>
      <c r="C16" s="127">
        <f>BI_BASE!E3</f>
        <v>0</v>
      </c>
      <c r="D16" s="128"/>
      <c r="E16" s="131">
        <f>COUNTIF(BD_ALUNOS!U:U,"Inadimplente")</f>
        <v>0</v>
      </c>
      <c r="F16" s="128"/>
      <c r="G16" s="131">
        <f>COUNTIF(BD_ALUNOS!A:A,"&gt;0")</f>
        <v>8</v>
      </c>
      <c r="H16" s="128"/>
      <c r="I16" s="7"/>
      <c r="J16" s="7"/>
      <c r="K16" s="7"/>
      <c r="L16" s="7"/>
    </row>
    <row r="17" spans="1:12" ht="16.05" customHeight="1">
      <c r="A17" s="17"/>
      <c r="B17" s="7"/>
      <c r="C17" s="128"/>
      <c r="D17" s="128"/>
      <c r="E17" s="128"/>
      <c r="F17" s="128"/>
      <c r="G17" s="128"/>
      <c r="H17" s="128"/>
      <c r="I17" s="7"/>
      <c r="J17" s="7"/>
      <c r="K17" s="7"/>
      <c r="L17" s="7"/>
    </row>
    <row r="18" spans="1:12" ht="34.049999999999997" customHeight="1">
      <c r="A18" s="1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</row>
    <row r="19" spans="1:12" ht="34.049999999999997" customHeight="1">
      <c r="A19" s="1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</row>
    <row r="20" spans="1:12" ht="34.049999999999997" customHeight="1">
      <c r="A20" s="17"/>
      <c r="B20" s="7"/>
      <c r="C20" s="97" t="s">
        <v>398</v>
      </c>
      <c r="D20" s="87"/>
      <c r="E20" s="87"/>
      <c r="F20" s="87"/>
      <c r="G20" s="7"/>
      <c r="H20" s="7"/>
      <c r="I20" s="7"/>
      <c r="J20" s="7"/>
      <c r="K20" s="7"/>
      <c r="L20" s="7"/>
    </row>
    <row r="21" spans="1:12" ht="34.049999999999997" customHeight="1">
      <c r="A21" s="17"/>
      <c r="B21" s="7"/>
      <c r="C21" s="18" t="s">
        <v>54</v>
      </c>
      <c r="D21" s="18" t="s">
        <v>16</v>
      </c>
      <c r="E21" s="18" t="s">
        <v>399</v>
      </c>
      <c r="F21" s="18" t="s">
        <v>400</v>
      </c>
      <c r="G21" s="7"/>
      <c r="H21" s="7"/>
      <c r="I21" s="7"/>
      <c r="J21" s="7"/>
      <c r="K21" s="7"/>
      <c r="L21" s="7"/>
    </row>
    <row r="22" spans="1:12" ht="34.049999999999997" customHeight="1">
      <c r="A22" s="17"/>
      <c r="B22" s="7"/>
      <c r="C22" s="19" t="s">
        <v>118</v>
      </c>
      <c r="D22" s="19">
        <f>COUNTIF(BD_ALUNOS!P:P,C22)</f>
        <v>0</v>
      </c>
      <c r="E22" s="61">
        <f>D22*129.9</f>
        <v>0</v>
      </c>
      <c r="F22" s="62">
        <f t="shared" ref="F22:F27" si="0">IFERROR(D22/SUM($D$22:$D$27),0)</f>
        <v>0</v>
      </c>
      <c r="G22" s="7"/>
      <c r="H22" s="7"/>
      <c r="I22" s="7"/>
      <c r="J22" s="7"/>
      <c r="K22" s="7"/>
      <c r="L22" s="7"/>
    </row>
    <row r="23" spans="1:12" ht="34.049999999999997" customHeight="1">
      <c r="A23" s="17"/>
      <c r="B23" s="7"/>
      <c r="C23" s="19" t="s">
        <v>128</v>
      </c>
      <c r="D23" s="19">
        <f>COUNTIF(BD_ALUNOS!P:P,C23)</f>
        <v>0</v>
      </c>
      <c r="E23" s="61">
        <f>D23*109.9</f>
        <v>0</v>
      </c>
      <c r="F23" s="62">
        <f t="shared" si="0"/>
        <v>0</v>
      </c>
      <c r="G23" s="7"/>
      <c r="H23" s="7"/>
      <c r="I23" s="7"/>
      <c r="J23" s="7"/>
      <c r="K23" s="7"/>
      <c r="L23" s="7"/>
    </row>
    <row r="24" spans="1:12">
      <c r="A24" s="5"/>
      <c r="B24" s="7"/>
      <c r="C24" s="19" t="s">
        <v>136</v>
      </c>
      <c r="D24" s="19">
        <f>COUNTIF(BD_ALUNOS!P:P,C24)</f>
        <v>0</v>
      </c>
      <c r="E24" s="61">
        <f>D24*99.9</f>
        <v>0</v>
      </c>
      <c r="F24" s="62">
        <f t="shared" si="0"/>
        <v>0</v>
      </c>
      <c r="G24" s="7"/>
      <c r="H24" s="7"/>
      <c r="I24" s="7"/>
      <c r="J24" s="7"/>
      <c r="K24" s="7"/>
      <c r="L24" s="7"/>
    </row>
    <row r="25" spans="1:12">
      <c r="A25" s="5"/>
      <c r="B25" s="7"/>
      <c r="C25" s="19" t="s">
        <v>144</v>
      </c>
      <c r="D25" s="19">
        <f>COUNTIF(BD_ALUNOS!P:P,C25)</f>
        <v>0</v>
      </c>
      <c r="E25" s="61">
        <f>D25*89.9</f>
        <v>0</v>
      </c>
      <c r="F25" s="62">
        <f t="shared" si="0"/>
        <v>0</v>
      </c>
      <c r="G25" s="7"/>
      <c r="H25" s="7"/>
      <c r="I25" s="7"/>
      <c r="J25" s="7"/>
      <c r="K25" s="7"/>
      <c r="L25" s="7"/>
    </row>
    <row r="26" spans="1:12">
      <c r="A26" s="5"/>
      <c r="B26" s="7"/>
      <c r="C26" s="19" t="s">
        <v>159</v>
      </c>
      <c r="D26" s="19">
        <f>COUNTIF(BD_ALUNOS!P:P,C26)</f>
        <v>0</v>
      </c>
      <c r="E26" s="61">
        <f>D26*350</f>
        <v>0</v>
      </c>
      <c r="F26" s="62">
        <f t="shared" si="0"/>
        <v>0</v>
      </c>
      <c r="G26" s="7"/>
      <c r="H26" s="7"/>
      <c r="I26" s="7"/>
      <c r="J26" s="7"/>
      <c r="K26" s="7"/>
      <c r="L26" s="7"/>
    </row>
    <row r="27" spans="1:12">
      <c r="A27" s="5"/>
      <c r="B27" s="7"/>
      <c r="C27" s="19" t="s">
        <v>401</v>
      </c>
      <c r="D27" s="19">
        <f>COUNTIF(BD_ALUNOS!P:P,C27)</f>
        <v>0</v>
      </c>
      <c r="E27" s="61">
        <f>D27*40</f>
        <v>0</v>
      </c>
      <c r="F27" s="62">
        <f t="shared" si="0"/>
        <v>0</v>
      </c>
      <c r="G27" s="7"/>
      <c r="H27" s="7"/>
      <c r="I27" s="7"/>
      <c r="J27" s="7"/>
      <c r="K27" s="7"/>
      <c r="L27" s="7"/>
    </row>
    <row r="28" spans="1:12">
      <c r="A28" s="5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</row>
    <row r="29" spans="1:12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</row>
    <row r="30" spans="1:12">
      <c r="A30" s="5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1:12">
      <c r="A31" s="5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</row>
    <row r="32" spans="1:12">
      <c r="A32" s="5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1:12">
      <c r="A33" s="5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</row>
    <row r="34" spans="1:12">
      <c r="A34" s="5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</row>
    <row r="35" spans="1:12">
      <c r="A35" s="5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</row>
    <row r="37" spans="1:12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</row>
    <row r="38" spans="1:12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</row>
    <row r="39" spans="1:12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</row>
    <row r="40" spans="1:12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</row>
  </sheetData>
  <mergeCells count="26">
    <mergeCell ref="C20:F20"/>
    <mergeCell ref="E11:F11"/>
    <mergeCell ref="C1:I1"/>
    <mergeCell ref="E8:F9"/>
    <mergeCell ref="G8:H9"/>
    <mergeCell ref="C7:D7"/>
    <mergeCell ref="E7:F7"/>
    <mergeCell ref="C16:D17"/>
    <mergeCell ref="C2:I2"/>
    <mergeCell ref="C5:F5"/>
    <mergeCell ref="E12:F13"/>
    <mergeCell ref="G12:H13"/>
    <mergeCell ref="E15:F15"/>
    <mergeCell ref="C11:D11"/>
    <mergeCell ref="G15:H15"/>
    <mergeCell ref="I8:J9"/>
    <mergeCell ref="C8:D9"/>
    <mergeCell ref="G7:H7"/>
    <mergeCell ref="E16:F17"/>
    <mergeCell ref="I7:J7"/>
    <mergeCell ref="G16:H17"/>
    <mergeCell ref="C12:D13"/>
    <mergeCell ref="I12:J13"/>
    <mergeCell ref="C15:D15"/>
    <mergeCell ref="G11:H11"/>
    <mergeCell ref="I11:J11"/>
  </mergeCells>
  <pageMargins left="0.75" right="0.75" top="1" bottom="1" header="0.5" footer="0.5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8">
    <tabColor rgb="FFD4AF37"/>
  </sheetPr>
  <dimension ref="A1:L40"/>
  <sheetViews>
    <sheetView showGridLines="0" workbookViewId="0"/>
  </sheetViews>
  <sheetFormatPr defaultRowHeight="14.4"/>
  <cols>
    <col min="1" max="1" width="24" customWidth="1"/>
    <col min="2" max="2" width="2" customWidth="1"/>
    <col min="3" max="9" width="13" customWidth="1"/>
    <col min="10" max="10" width="12" customWidth="1"/>
  </cols>
  <sheetData>
    <row r="1" spans="1:12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1"/>
      <c r="K1" s="6" t="s">
        <v>7</v>
      </c>
      <c r="L1" s="7"/>
    </row>
    <row r="2" spans="1:12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9"/>
      <c r="K2" s="10" t="str">
        <f ca="1">TEXT(DAY(NOW()),"00")&amp;"/"&amp;TEXT(MONTH(NOW()),"00")&amp;"/"&amp;YEAR(NOW())&amp;" "&amp;TEXT(HOUR(NOW()),"00")&amp;":"&amp;TEXT(MINUTE(NOW()),"00")</f>
        <v>22/07/2026 14:42</v>
      </c>
      <c r="L2" s="7"/>
    </row>
    <row r="3" spans="1:12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7"/>
    </row>
    <row r="4" spans="1:12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1:12" ht="22.8">
      <c r="A5" s="5"/>
      <c r="B5" s="7"/>
      <c r="C5" s="98" t="s">
        <v>402</v>
      </c>
      <c r="D5" s="87"/>
      <c r="E5" s="87"/>
      <c r="F5" s="87"/>
      <c r="G5" s="87"/>
      <c r="H5" s="87"/>
      <c r="I5" s="7"/>
      <c r="J5" s="7"/>
      <c r="K5" s="7"/>
      <c r="L5" s="7"/>
    </row>
    <row r="6" spans="1:12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2" ht="16.05" customHeight="1">
      <c r="A7" s="17"/>
      <c r="B7" s="7"/>
      <c r="C7" s="130" t="s">
        <v>403</v>
      </c>
      <c r="D7" s="128"/>
      <c r="E7" s="130" t="s">
        <v>391</v>
      </c>
      <c r="F7" s="128"/>
      <c r="G7" s="130" t="s">
        <v>404</v>
      </c>
      <c r="H7" s="128"/>
      <c r="I7" s="130" t="s">
        <v>405</v>
      </c>
      <c r="J7" s="128"/>
      <c r="K7" s="7"/>
      <c r="L7" s="7"/>
    </row>
    <row r="8" spans="1:12" ht="19.95" customHeight="1">
      <c r="A8" s="17"/>
      <c r="B8" s="7"/>
      <c r="C8" s="131">
        <f>BI_BASE!E21</f>
        <v>0</v>
      </c>
      <c r="D8" s="128"/>
      <c r="E8" s="131">
        <f>BI_BASE!E5</f>
        <v>0</v>
      </c>
      <c r="F8" s="128"/>
      <c r="G8" s="131">
        <f>BI_BASE!E22</f>
        <v>0</v>
      </c>
      <c r="H8" s="128"/>
      <c r="I8" s="131">
        <f>BI_BASE!G12</f>
        <v>0</v>
      </c>
      <c r="J8" s="128"/>
      <c r="K8" s="7"/>
      <c r="L8" s="7"/>
    </row>
    <row r="9" spans="1:12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</row>
    <row r="10" spans="1:12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</row>
    <row r="11" spans="1:12" ht="34.049999999999997" customHeight="1">
      <c r="A11" s="1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</row>
    <row r="12" spans="1:12" ht="34.049999999999997" customHeight="1">
      <c r="A12" s="17"/>
      <c r="B12" s="7"/>
      <c r="C12" s="97" t="s">
        <v>406</v>
      </c>
      <c r="D12" s="87"/>
      <c r="E12" s="87"/>
      <c r="F12" s="87"/>
      <c r="G12" s="7"/>
      <c r="H12" s="7"/>
      <c r="I12" s="7"/>
      <c r="J12" s="7"/>
      <c r="K12" s="7"/>
      <c r="L12" s="7"/>
    </row>
    <row r="13" spans="1:12" ht="34.049999999999997" customHeight="1">
      <c r="A13" s="17"/>
      <c r="B13" s="7"/>
      <c r="C13" s="18" t="s">
        <v>53</v>
      </c>
      <c r="D13" s="18" t="s">
        <v>76</v>
      </c>
      <c r="E13" s="18" t="s">
        <v>23</v>
      </c>
      <c r="F13" s="18" t="s">
        <v>55</v>
      </c>
      <c r="G13" s="7"/>
      <c r="H13" s="7"/>
      <c r="I13" s="7"/>
      <c r="J13" s="7"/>
      <c r="K13" s="7"/>
      <c r="L13" s="7"/>
    </row>
    <row r="14" spans="1:12" ht="34.049999999999997" customHeight="1">
      <c r="A14" s="17"/>
      <c r="B14" s="7"/>
      <c r="C14" s="19">
        <f>BI_BASE!F12</f>
        <v>0</v>
      </c>
      <c r="D14" s="19">
        <f>BI_BASE!G12</f>
        <v>0</v>
      </c>
      <c r="E14" s="19">
        <f>BI_BASE!H12</f>
        <v>0</v>
      </c>
      <c r="F14" s="19" t="str">
        <f t="shared" ref="F14:F23" si="0">REPT("█",MIN(20,IFERROR(E14/MAX($E$14:$E$23,1)*20,0)))</f>
        <v/>
      </c>
      <c r="G14" s="7"/>
      <c r="H14" s="7"/>
      <c r="I14" s="7"/>
      <c r="J14" s="7"/>
      <c r="K14" s="7"/>
      <c r="L14" s="7"/>
    </row>
    <row r="15" spans="1:12" ht="34.049999999999997" customHeight="1">
      <c r="A15" s="17"/>
      <c r="B15" s="7"/>
      <c r="C15" s="19">
        <f>BI_BASE!F13</f>
        <v>0</v>
      </c>
      <c r="D15" s="19">
        <f>BI_BASE!G13</f>
        <v>0</v>
      </c>
      <c r="E15" s="19">
        <f>BI_BASE!H13</f>
        <v>0</v>
      </c>
      <c r="F15" s="19" t="str">
        <f t="shared" si="0"/>
        <v/>
      </c>
      <c r="G15" s="7"/>
      <c r="H15" s="7"/>
      <c r="I15" s="7"/>
      <c r="J15" s="7"/>
      <c r="K15" s="7"/>
      <c r="L15" s="7"/>
    </row>
    <row r="16" spans="1:12" ht="34.049999999999997" customHeight="1">
      <c r="A16" s="17"/>
      <c r="B16" s="7"/>
      <c r="C16" s="19">
        <f>BI_BASE!F14</f>
        <v>0</v>
      </c>
      <c r="D16" s="19">
        <f>BI_BASE!G14</f>
        <v>0</v>
      </c>
      <c r="E16" s="19">
        <f>BI_BASE!H14</f>
        <v>0</v>
      </c>
      <c r="F16" s="19" t="str">
        <f t="shared" si="0"/>
        <v/>
      </c>
      <c r="G16" s="7"/>
      <c r="H16" s="7"/>
      <c r="I16" s="7"/>
      <c r="J16" s="7"/>
      <c r="K16" s="7"/>
      <c r="L16" s="7"/>
    </row>
    <row r="17" spans="1:12" ht="34.049999999999997" customHeight="1">
      <c r="A17" s="17"/>
      <c r="B17" s="7"/>
      <c r="C17" s="19">
        <f>BI_BASE!F15</f>
        <v>0</v>
      </c>
      <c r="D17" s="19">
        <f>BI_BASE!G15</f>
        <v>0</v>
      </c>
      <c r="E17" s="19">
        <f>BI_BASE!H15</f>
        <v>0</v>
      </c>
      <c r="F17" s="19" t="str">
        <f t="shared" si="0"/>
        <v/>
      </c>
      <c r="G17" s="7"/>
      <c r="H17" s="7"/>
      <c r="I17" s="7"/>
      <c r="J17" s="7"/>
      <c r="K17" s="7"/>
      <c r="L17" s="7"/>
    </row>
    <row r="18" spans="1:12" ht="34.049999999999997" customHeight="1">
      <c r="A18" s="17"/>
      <c r="B18" s="7"/>
      <c r="C18" s="19">
        <f>BI_BASE!F16</f>
        <v>0</v>
      </c>
      <c r="D18" s="19">
        <f>BI_BASE!G16</f>
        <v>0</v>
      </c>
      <c r="E18" s="19">
        <f>BI_BASE!H16</f>
        <v>0</v>
      </c>
      <c r="F18" s="19" t="str">
        <f t="shared" si="0"/>
        <v/>
      </c>
      <c r="G18" s="7"/>
      <c r="H18" s="7"/>
      <c r="I18" s="7"/>
      <c r="J18" s="7"/>
      <c r="K18" s="7"/>
      <c r="L18" s="7"/>
    </row>
    <row r="19" spans="1:12" ht="34.049999999999997" customHeight="1">
      <c r="A19" s="17"/>
      <c r="B19" s="7"/>
      <c r="C19" s="19">
        <f>BI_BASE!F17</f>
        <v>0</v>
      </c>
      <c r="D19" s="19">
        <f>BI_BASE!G17</f>
        <v>0</v>
      </c>
      <c r="E19" s="19">
        <f>BI_BASE!H17</f>
        <v>0</v>
      </c>
      <c r="F19" s="19" t="str">
        <f t="shared" si="0"/>
        <v/>
      </c>
      <c r="G19" s="7"/>
      <c r="H19" s="7"/>
      <c r="I19" s="7"/>
      <c r="J19" s="7"/>
      <c r="K19" s="7"/>
      <c r="L19" s="7"/>
    </row>
    <row r="20" spans="1:12" ht="34.049999999999997" customHeight="1">
      <c r="A20" s="17"/>
      <c r="B20" s="7"/>
      <c r="C20" s="19">
        <f>BI_BASE!F18</f>
        <v>0</v>
      </c>
      <c r="D20" s="19">
        <f>BI_BASE!G18</f>
        <v>0</v>
      </c>
      <c r="E20" s="19">
        <f>BI_BASE!H18</f>
        <v>0</v>
      </c>
      <c r="F20" s="19" t="str">
        <f t="shared" si="0"/>
        <v/>
      </c>
      <c r="G20" s="7"/>
      <c r="H20" s="7"/>
      <c r="I20" s="7"/>
      <c r="J20" s="7"/>
      <c r="K20" s="7"/>
      <c r="L20" s="7"/>
    </row>
    <row r="21" spans="1:12" ht="34.049999999999997" customHeight="1">
      <c r="A21" s="17"/>
      <c r="B21" s="7"/>
      <c r="C21" s="19">
        <f>BI_BASE!F19</f>
        <v>0</v>
      </c>
      <c r="D21" s="19">
        <f>BI_BASE!G19</f>
        <v>0</v>
      </c>
      <c r="E21" s="19">
        <f>BI_BASE!H19</f>
        <v>0</v>
      </c>
      <c r="F21" s="19" t="str">
        <f t="shared" si="0"/>
        <v/>
      </c>
      <c r="G21" s="7"/>
      <c r="H21" s="7"/>
      <c r="I21" s="7"/>
      <c r="J21" s="7"/>
      <c r="K21" s="7"/>
      <c r="L21" s="7"/>
    </row>
    <row r="22" spans="1:12" ht="34.049999999999997" customHeight="1">
      <c r="A22" s="17"/>
      <c r="B22" s="7"/>
      <c r="C22" s="19">
        <f>BI_BASE!F20</f>
        <v>0</v>
      </c>
      <c r="D22" s="19">
        <f>BI_BASE!G20</f>
        <v>0</v>
      </c>
      <c r="E22" s="19">
        <f>BI_BASE!H20</f>
        <v>0</v>
      </c>
      <c r="F22" s="19" t="str">
        <f t="shared" si="0"/>
        <v/>
      </c>
      <c r="G22" s="7"/>
      <c r="H22" s="7"/>
      <c r="I22" s="7"/>
      <c r="J22" s="7"/>
      <c r="K22" s="7"/>
      <c r="L22" s="7"/>
    </row>
    <row r="23" spans="1:12" ht="34.049999999999997" customHeight="1">
      <c r="A23" s="17"/>
      <c r="B23" s="7"/>
      <c r="C23" s="19">
        <f>BI_BASE!F21</f>
        <v>0</v>
      </c>
      <c r="D23" s="19">
        <f>BI_BASE!G21</f>
        <v>0</v>
      </c>
      <c r="E23" s="19">
        <f>BI_BASE!H21</f>
        <v>0</v>
      </c>
      <c r="F23" s="19" t="str">
        <f t="shared" si="0"/>
        <v/>
      </c>
      <c r="G23" s="7"/>
      <c r="H23" s="7"/>
      <c r="I23" s="7"/>
      <c r="J23" s="7"/>
      <c r="K23" s="7"/>
      <c r="L23" s="7"/>
    </row>
    <row r="24" spans="1:12">
      <c r="A24" s="5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1:12">
      <c r="A25" s="5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1:12">
      <c r="A27" s="5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</row>
    <row r="28" spans="1:12">
      <c r="A28" s="5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</row>
    <row r="29" spans="1:12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</row>
    <row r="30" spans="1:12">
      <c r="A30" s="5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1:12">
      <c r="A31" s="5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</row>
    <row r="32" spans="1:12">
      <c r="A32" s="5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1:12">
      <c r="A33" s="5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</row>
    <row r="34" spans="1:12">
      <c r="A34" s="5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</row>
    <row r="35" spans="1:12">
      <c r="A35" s="5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</row>
    <row r="37" spans="1:12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</row>
    <row r="38" spans="1:12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</row>
    <row r="39" spans="1:12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</row>
    <row r="40" spans="1:12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</row>
  </sheetData>
  <mergeCells count="12">
    <mergeCell ref="I7:J7"/>
    <mergeCell ref="C12:F12"/>
    <mergeCell ref="C2:I2"/>
    <mergeCell ref="C1:I1"/>
    <mergeCell ref="I8:J9"/>
    <mergeCell ref="G8:H9"/>
    <mergeCell ref="E8:F9"/>
    <mergeCell ref="C8:D9"/>
    <mergeCell ref="C7:D7"/>
    <mergeCell ref="G7:H7"/>
    <mergeCell ref="E7:F7"/>
    <mergeCell ref="C5:H5"/>
  </mergeCells>
  <pageMargins left="0.75" right="0.75" top="1" bottom="1" header="0.5" footer="0.5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>
    <tabColor rgb="FFD4AF37"/>
  </sheetPr>
  <dimension ref="A1:L40"/>
  <sheetViews>
    <sheetView showGridLines="0" workbookViewId="0"/>
  </sheetViews>
  <sheetFormatPr defaultRowHeight="14.4"/>
  <cols>
    <col min="1" max="1" width="24" customWidth="1"/>
    <col min="2" max="2" width="2" customWidth="1"/>
    <col min="3" max="9" width="13" customWidth="1"/>
    <col min="10" max="10" width="12" customWidth="1"/>
  </cols>
  <sheetData>
    <row r="1" spans="1:12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1"/>
      <c r="K1" s="6" t="s">
        <v>7</v>
      </c>
      <c r="L1" s="7"/>
    </row>
    <row r="2" spans="1:12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9"/>
      <c r="K2" s="10" t="str">
        <f ca="1">TEXT(DAY(NOW()),"00")&amp;"/"&amp;TEXT(MONTH(NOW()),"00")&amp;"/"&amp;YEAR(NOW())&amp;" "&amp;TEXT(HOUR(NOW()),"00")&amp;":"&amp;TEXT(MINUTE(NOW()),"00")</f>
        <v>22/07/2026 14:42</v>
      </c>
      <c r="L2" s="7"/>
    </row>
    <row r="3" spans="1:12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7"/>
    </row>
    <row r="4" spans="1:12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1:12" ht="22.8">
      <c r="A5" s="5"/>
      <c r="B5" s="7"/>
      <c r="C5" s="98" t="s">
        <v>407</v>
      </c>
      <c r="D5" s="87"/>
      <c r="E5" s="87"/>
      <c r="F5" s="87"/>
      <c r="G5" s="87"/>
      <c r="H5" s="87"/>
      <c r="I5" s="7"/>
      <c r="J5" s="7"/>
      <c r="K5" s="7"/>
      <c r="L5" s="7"/>
    </row>
    <row r="6" spans="1:12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2" ht="16.05" customHeight="1">
      <c r="A7" s="17"/>
      <c r="B7" s="7"/>
      <c r="C7" s="130" t="s">
        <v>408</v>
      </c>
      <c r="D7" s="128"/>
      <c r="E7" s="130" t="s">
        <v>409</v>
      </c>
      <c r="F7" s="128"/>
      <c r="G7" s="130" t="s">
        <v>410</v>
      </c>
      <c r="H7" s="128"/>
      <c r="I7" s="130" t="s">
        <v>411</v>
      </c>
      <c r="J7" s="128"/>
      <c r="K7" s="7"/>
      <c r="L7" s="7"/>
    </row>
    <row r="8" spans="1:12" ht="19.95" customHeight="1">
      <c r="A8" s="17"/>
      <c r="B8" s="7"/>
      <c r="C8" s="131">
        <f>BI_BASE!E23</f>
        <v>0</v>
      </c>
      <c r="D8" s="128"/>
      <c r="E8" s="131">
        <f>BI_BASE!E24</f>
        <v>0</v>
      </c>
      <c r="F8" s="128"/>
      <c r="G8" s="127" t="str">
        <f>BI_BASE!E25</f>
        <v>Alunos</v>
      </c>
      <c r="H8" s="128"/>
      <c r="I8" s="131" t="str">
        <f>BI_BASE!H5</f>
        <v>🟡</v>
      </c>
      <c r="J8" s="128"/>
      <c r="K8" s="7"/>
      <c r="L8" s="7"/>
    </row>
    <row r="9" spans="1:12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</row>
    <row r="10" spans="1:12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</row>
    <row r="11" spans="1:12" ht="34.049999999999997" customHeight="1">
      <c r="A11" s="1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</row>
    <row r="12" spans="1:12" ht="34.049999999999997" customHeight="1">
      <c r="A12" s="17"/>
      <c r="B12" s="7"/>
      <c r="C12" s="97" t="s">
        <v>412</v>
      </c>
      <c r="D12" s="87"/>
      <c r="E12" s="87"/>
      <c r="F12" s="87"/>
      <c r="G12" s="87"/>
      <c r="H12" s="7"/>
      <c r="I12" s="7"/>
      <c r="J12" s="7"/>
      <c r="K12" s="7"/>
      <c r="L12" s="7"/>
    </row>
    <row r="13" spans="1:12" ht="34.049999999999997" customHeight="1">
      <c r="A13" s="17"/>
      <c r="B13" s="7"/>
      <c r="C13" s="18" t="s">
        <v>282</v>
      </c>
      <c r="D13" s="18" t="s">
        <v>16</v>
      </c>
      <c r="E13" s="18" t="s">
        <v>413</v>
      </c>
      <c r="F13" s="18" t="s">
        <v>106</v>
      </c>
      <c r="G13" s="7"/>
      <c r="H13" s="7"/>
      <c r="I13" s="7"/>
      <c r="J13" s="7"/>
      <c r="K13" s="7"/>
      <c r="L13" s="7"/>
    </row>
    <row r="14" spans="1:12" ht="34.049999999999997" customHeight="1">
      <c r="A14" s="17"/>
      <c r="B14" s="7"/>
      <c r="C14" s="19" t="str">
        <f>'09_ESTOQUE'!B6</f>
        <v>Whey Protein 900g</v>
      </c>
      <c r="D14" s="19">
        <f>'09_ESTOQUE'!D6</f>
        <v>20</v>
      </c>
      <c r="E14" s="19">
        <f>'09_ESTOQUE'!E6</f>
        <v>5</v>
      </c>
      <c r="F14" s="19" t="str">
        <f>'09_ESTOQUE'!L6</f>
        <v>🟢 OK</v>
      </c>
      <c r="G14" s="7"/>
      <c r="H14" s="7"/>
      <c r="I14" s="7"/>
      <c r="J14" s="7"/>
      <c r="K14" s="7"/>
      <c r="L14" s="7"/>
    </row>
    <row r="15" spans="1:12" ht="34.049999999999997" customHeight="1">
      <c r="A15" s="17"/>
      <c r="B15" s="7"/>
      <c r="C15" s="19" t="str">
        <f>'09_ESTOQUE'!B7</f>
        <v>Creatina 300g</v>
      </c>
      <c r="D15" s="19">
        <f>'09_ESTOQUE'!D7</f>
        <v>25</v>
      </c>
      <c r="E15" s="19">
        <f>'09_ESTOQUE'!E7</f>
        <v>5</v>
      </c>
      <c r="F15" s="19" t="str">
        <f>'09_ESTOQUE'!L7</f>
        <v>🟢 OK</v>
      </c>
      <c r="G15" s="7"/>
      <c r="H15" s="7"/>
      <c r="I15" s="7"/>
      <c r="J15" s="7"/>
      <c r="K15" s="7"/>
      <c r="L15" s="7"/>
    </row>
    <row r="16" spans="1:12" ht="34.049999999999997" customHeight="1">
      <c r="A16" s="17"/>
      <c r="B16" s="7"/>
      <c r="C16" s="19" t="str">
        <f>'09_ESTOQUE'!B8</f>
        <v>Barra Proteica</v>
      </c>
      <c r="D16" s="19">
        <f>'09_ESTOQUE'!D8</f>
        <v>40</v>
      </c>
      <c r="E16" s="19">
        <f>'09_ESTOQUE'!E8</f>
        <v>10</v>
      </c>
      <c r="F16" s="19" t="str">
        <f>'09_ESTOQUE'!L8</f>
        <v>🟢 OK</v>
      </c>
      <c r="G16" s="7"/>
      <c r="H16" s="7"/>
      <c r="I16" s="7"/>
      <c r="J16" s="7"/>
      <c r="K16" s="7"/>
      <c r="L16" s="7"/>
    </row>
    <row r="17" spans="1:12" ht="34.049999999999997" customHeight="1">
      <c r="A17" s="17"/>
      <c r="B17" s="7"/>
      <c r="C17" s="19" t="str">
        <f>'09_ESTOQUE'!B9</f>
        <v>Camiseta Athenas</v>
      </c>
      <c r="D17" s="19">
        <f>'09_ESTOQUE'!D9</f>
        <v>30</v>
      </c>
      <c r="E17" s="19">
        <f>'09_ESTOQUE'!E9</f>
        <v>5</v>
      </c>
      <c r="F17" s="19" t="str">
        <f>'09_ESTOQUE'!L9</f>
        <v>🟢 OK</v>
      </c>
      <c r="G17" s="7"/>
      <c r="H17" s="7"/>
      <c r="I17" s="7"/>
      <c r="J17" s="7"/>
      <c r="K17" s="7"/>
      <c r="L17" s="7"/>
    </row>
    <row r="18" spans="1:12" ht="34.049999999999997" customHeight="1">
      <c r="A18" s="17"/>
      <c r="B18" s="7"/>
      <c r="C18" s="19" t="str">
        <f>'09_ESTOQUE'!B10</f>
        <v>Garrafa Squeeze</v>
      </c>
      <c r="D18" s="19">
        <f>'09_ESTOQUE'!D10</f>
        <v>20</v>
      </c>
      <c r="E18" s="19">
        <f>'09_ESTOQUE'!E10</f>
        <v>5</v>
      </c>
      <c r="F18" s="19" t="str">
        <f>'09_ESTOQUE'!L10</f>
        <v>🟢 OK</v>
      </c>
      <c r="G18" s="7"/>
      <c r="H18" s="7"/>
      <c r="I18" s="7"/>
      <c r="J18" s="7"/>
      <c r="K18" s="7"/>
      <c r="L18" s="7"/>
    </row>
    <row r="19" spans="1:12" ht="34.049999999999997" customHeight="1">
      <c r="A19" s="17"/>
      <c r="B19" s="7"/>
      <c r="C19" s="19" t="str">
        <f>'09_ESTOQUE'!B11</f>
        <v>Luvas Treino</v>
      </c>
      <c r="D19" s="19">
        <f>'09_ESTOQUE'!D11</f>
        <v>15</v>
      </c>
      <c r="E19" s="19">
        <f>'09_ESTOQUE'!E11</f>
        <v>3</v>
      </c>
      <c r="F19" s="19" t="str">
        <f>'09_ESTOQUE'!L11</f>
        <v>🟢 OK</v>
      </c>
      <c r="G19" s="7"/>
      <c r="H19" s="7"/>
      <c r="I19" s="7"/>
      <c r="J19" s="7"/>
      <c r="K19" s="7"/>
      <c r="L19" s="7"/>
    </row>
    <row r="20" spans="1:12" ht="34.049999999999997" customHeight="1">
      <c r="A20" s="17"/>
      <c r="B20" s="7"/>
      <c r="C20" s="19">
        <f>'09_ESTOQUE'!B12</f>
        <v>0</v>
      </c>
      <c r="D20" s="19">
        <f>'09_ESTOQUE'!D12</f>
        <v>0</v>
      </c>
      <c r="E20" s="19">
        <f>'09_ESTOQUE'!E12</f>
        <v>0</v>
      </c>
      <c r="F20" s="19" t="str">
        <f>'09_ESTOQUE'!L12</f>
        <v/>
      </c>
      <c r="G20" s="7"/>
      <c r="H20" s="7"/>
      <c r="I20" s="7"/>
      <c r="J20" s="7"/>
      <c r="K20" s="7"/>
      <c r="L20" s="7"/>
    </row>
    <row r="21" spans="1:12" ht="34.049999999999997" customHeight="1">
      <c r="A21" s="15"/>
      <c r="B21" s="7"/>
      <c r="C21" s="19">
        <f>'09_ESTOQUE'!B13</f>
        <v>0</v>
      </c>
      <c r="D21" s="19">
        <f>'09_ESTOQUE'!D13</f>
        <v>0</v>
      </c>
      <c r="E21" s="19">
        <f>'09_ESTOQUE'!E13</f>
        <v>0</v>
      </c>
      <c r="F21" s="19" t="str">
        <f>'09_ESTOQUE'!L13</f>
        <v/>
      </c>
      <c r="G21" s="7"/>
      <c r="H21" s="7"/>
      <c r="I21" s="7"/>
      <c r="J21" s="7"/>
      <c r="K21" s="7"/>
      <c r="L21" s="7"/>
    </row>
    <row r="22" spans="1:12" ht="34.049999999999997" customHeight="1">
      <c r="A22" s="1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</row>
    <row r="23" spans="1:12" ht="34.049999999999997" customHeight="1">
      <c r="A23" s="1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1:12">
      <c r="A24" s="5"/>
      <c r="B24" s="7"/>
      <c r="C24" s="24" t="s">
        <v>414</v>
      </c>
      <c r="D24" s="7"/>
      <c r="E24" s="7"/>
      <c r="F24" s="7"/>
      <c r="G24" s="7"/>
      <c r="H24" s="7"/>
      <c r="I24" s="7"/>
      <c r="J24" s="7"/>
      <c r="K24" s="7"/>
      <c r="L24" s="7"/>
    </row>
    <row r="25" spans="1:12">
      <c r="A25" s="5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1:12">
      <c r="A27" s="5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</row>
    <row r="28" spans="1:12">
      <c r="A28" s="5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</row>
    <row r="29" spans="1:12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</row>
    <row r="30" spans="1:12">
      <c r="A30" s="5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1:12">
      <c r="A31" s="5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</row>
    <row r="32" spans="1:12">
      <c r="A32" s="5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1:12">
      <c r="A33" s="5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</row>
    <row r="34" spans="1:12">
      <c r="A34" s="5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</row>
    <row r="35" spans="1:12">
      <c r="A35" s="5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</row>
    <row r="37" spans="1:12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</row>
    <row r="38" spans="1:12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</row>
    <row r="39" spans="1:12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</row>
    <row r="40" spans="1:12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</row>
  </sheetData>
  <mergeCells count="12">
    <mergeCell ref="C5:H5"/>
    <mergeCell ref="I7:J7"/>
    <mergeCell ref="C2:I2"/>
    <mergeCell ref="C1:I1"/>
    <mergeCell ref="I8:J9"/>
    <mergeCell ref="G8:H9"/>
    <mergeCell ref="E8:F9"/>
    <mergeCell ref="C8:D9"/>
    <mergeCell ref="C7:D7"/>
    <mergeCell ref="C12:G12"/>
    <mergeCell ref="G7:H7"/>
    <mergeCell ref="E7:F7"/>
  </mergeCells>
  <pageMargins left="0.75" right="0.75" top="1" bottom="1" header="0.5" footer="0.5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0">
    <tabColor rgb="FFD4AF37"/>
  </sheetPr>
  <dimension ref="A1:L40"/>
  <sheetViews>
    <sheetView showGridLines="0" workbookViewId="0"/>
  </sheetViews>
  <sheetFormatPr defaultRowHeight="14.4"/>
  <cols>
    <col min="1" max="1" width="24" customWidth="1"/>
    <col min="2" max="2" width="2" customWidth="1"/>
    <col min="3" max="9" width="13" customWidth="1"/>
    <col min="10" max="10" width="12" customWidth="1"/>
  </cols>
  <sheetData>
    <row r="1" spans="1:12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1"/>
      <c r="K1" s="6" t="s">
        <v>7</v>
      </c>
      <c r="L1" s="7"/>
    </row>
    <row r="2" spans="1:12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9"/>
      <c r="K2" s="10" t="str">
        <f ca="1">TEXT(DAY(NOW()),"00")&amp;"/"&amp;TEXT(MONTH(NOW()),"00")&amp;"/"&amp;YEAR(NOW())&amp;" "&amp;TEXT(HOUR(NOW()),"00")&amp;":"&amp;TEXT(MINUTE(NOW()),"00")</f>
        <v>22/07/2026 14:42</v>
      </c>
      <c r="L2" s="7"/>
    </row>
    <row r="3" spans="1:12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7"/>
    </row>
    <row r="4" spans="1:12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1:12" ht="22.8">
      <c r="A5" s="5"/>
      <c r="B5" s="7"/>
      <c r="C5" s="98" t="s">
        <v>415</v>
      </c>
      <c r="D5" s="87"/>
      <c r="E5" s="87"/>
      <c r="F5" s="87"/>
      <c r="G5" s="87"/>
      <c r="H5" s="87"/>
      <c r="I5" s="7"/>
      <c r="J5" s="7"/>
      <c r="K5" s="7"/>
      <c r="L5" s="7"/>
    </row>
    <row r="6" spans="1:12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2" ht="16.05" customHeight="1">
      <c r="A7" s="17"/>
      <c r="B7" s="7"/>
      <c r="C7" s="130" t="s">
        <v>416</v>
      </c>
      <c r="D7" s="128"/>
      <c r="E7" s="130" t="s">
        <v>417</v>
      </c>
      <c r="F7" s="128"/>
      <c r="G7" s="130" t="s">
        <v>418</v>
      </c>
      <c r="H7" s="128"/>
      <c r="I7" s="130" t="s">
        <v>419</v>
      </c>
      <c r="J7" s="128"/>
      <c r="K7" s="7"/>
      <c r="L7" s="7"/>
    </row>
    <row r="8" spans="1:12" ht="19.95" customHeight="1">
      <c r="A8" s="17"/>
      <c r="B8" s="7"/>
      <c r="C8" s="131">
        <f>BI_BASE!E26</f>
        <v>0</v>
      </c>
      <c r="D8" s="128"/>
      <c r="E8" s="131">
        <f>BI_BASE!E27</f>
        <v>0</v>
      </c>
      <c r="F8" s="128"/>
      <c r="G8" s="131">
        <f ca="1">COUNTIF('10_EQUIPAMENTOS'!H:H,"&lt;=30")</f>
        <v>5</v>
      </c>
      <c r="H8" s="128"/>
      <c r="I8" s="132">
        <f>IFERROR(1-IFERROR(BI_BASE!E27/BI_BASE!E26,0),1)</f>
        <v>1</v>
      </c>
      <c r="J8" s="128"/>
      <c r="K8" s="7"/>
      <c r="L8" s="7"/>
    </row>
    <row r="9" spans="1:12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</row>
    <row r="10" spans="1:12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</row>
    <row r="11" spans="1:12" ht="34.049999999999997" customHeight="1">
      <c r="A11" s="1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</row>
    <row r="12" spans="1:12" ht="34.049999999999997" customHeight="1">
      <c r="A12" s="17"/>
      <c r="B12" s="7"/>
      <c r="C12" s="97" t="s">
        <v>420</v>
      </c>
      <c r="D12" s="87"/>
      <c r="E12" s="87"/>
      <c r="F12" s="87"/>
      <c r="G12" s="7"/>
      <c r="H12" s="7"/>
      <c r="I12" s="7"/>
      <c r="J12" s="7"/>
      <c r="K12" s="7"/>
      <c r="L12" s="7"/>
    </row>
    <row r="13" spans="1:12" ht="34.049999999999997" customHeight="1">
      <c r="A13" s="17"/>
      <c r="B13" s="7"/>
      <c r="C13" s="18" t="s">
        <v>314</v>
      </c>
      <c r="D13" s="18" t="s">
        <v>106</v>
      </c>
      <c r="E13" s="18" t="s">
        <v>421</v>
      </c>
      <c r="F13" s="7"/>
      <c r="G13" s="7"/>
      <c r="H13" s="7"/>
      <c r="I13" s="7"/>
      <c r="J13" s="7"/>
      <c r="K13" s="7"/>
      <c r="L13" s="7"/>
    </row>
    <row r="14" spans="1:12" ht="34.049999999999997" customHeight="1">
      <c r="A14" s="17"/>
      <c r="B14" s="7"/>
      <c r="C14" s="19" t="str">
        <f>'10_EQUIPAMENTOS'!A6</f>
        <v>Leg Press 45°</v>
      </c>
      <c r="D14" s="19" t="str">
        <f ca="1">'10_EQUIPAMENTOS'!G6</f>
        <v>🔴 VENCIDA</v>
      </c>
      <c r="E14" s="19">
        <f ca="1">'10_EQUIPAMENTOS'!H6</f>
        <v>-82</v>
      </c>
      <c r="F14" s="7"/>
      <c r="G14" s="7"/>
      <c r="H14" s="7"/>
      <c r="I14" s="7"/>
      <c r="J14" s="7"/>
      <c r="K14" s="7"/>
      <c r="L14" s="7"/>
    </row>
    <row r="15" spans="1:12" ht="34.049999999999997" customHeight="1">
      <c r="A15" s="17"/>
      <c r="B15" s="7"/>
      <c r="C15" s="19" t="str">
        <f>'10_EQUIPAMENTOS'!A7</f>
        <v>Supino Reto</v>
      </c>
      <c r="D15" s="19" t="str">
        <f ca="1">'10_EQUIPAMENTOS'!G7</f>
        <v>🟡 PRÓXIMA</v>
      </c>
      <c r="E15" s="19">
        <f ca="1">'10_EQUIPAMENTOS'!H7</f>
        <v>10</v>
      </c>
      <c r="F15" s="7"/>
      <c r="G15" s="7"/>
      <c r="H15" s="7"/>
      <c r="I15" s="7"/>
      <c r="J15" s="7"/>
      <c r="K15" s="7"/>
      <c r="L15" s="7"/>
    </row>
    <row r="16" spans="1:12" ht="34.049999999999997" customHeight="1">
      <c r="A16" s="17"/>
      <c r="B16" s="7"/>
      <c r="C16" s="19" t="str">
        <f>'10_EQUIPAMENTOS'!A8</f>
        <v>Esteira Profissional</v>
      </c>
      <c r="D16" s="19" t="str">
        <f ca="1">'10_EQUIPAMENTOS'!G8</f>
        <v>🔴 VENCIDA</v>
      </c>
      <c r="E16" s="19">
        <f ca="1">'10_EQUIPAMENTOS'!H8</f>
        <v>-98</v>
      </c>
      <c r="F16" s="7"/>
      <c r="G16" s="7"/>
      <c r="H16" s="7"/>
      <c r="I16" s="7"/>
      <c r="J16" s="7"/>
      <c r="K16" s="7"/>
      <c r="L16" s="7"/>
    </row>
    <row r="17" spans="1:12" ht="34.049999999999997" customHeight="1">
      <c r="A17" s="17"/>
      <c r="B17" s="7"/>
      <c r="C17" s="19" t="str">
        <f>'10_EQUIPAMENTOS'!A9</f>
        <v>Bicicleta Ergométrica</v>
      </c>
      <c r="D17" s="19" t="str">
        <f ca="1">'10_EQUIPAMENTOS'!G9</f>
        <v>🟢 EM DIA</v>
      </c>
      <c r="E17" s="19">
        <f ca="1">'10_EQUIPAMENTOS'!H9</f>
        <v>41</v>
      </c>
      <c r="F17" s="7"/>
      <c r="G17" s="7"/>
      <c r="H17" s="7"/>
      <c r="I17" s="7"/>
      <c r="J17" s="7"/>
      <c r="K17" s="7"/>
      <c r="L17" s="7"/>
    </row>
    <row r="18" spans="1:12" ht="34.049999999999997" customHeight="1">
      <c r="A18" s="17"/>
      <c r="B18" s="7"/>
      <c r="C18" s="19" t="str">
        <f>'10_EQUIPAMENTOS'!A10</f>
        <v>Smith Machine</v>
      </c>
      <c r="D18" s="19" t="str">
        <f ca="1">'10_EQUIPAMENTOS'!G10</f>
        <v>🔴 VENCIDA</v>
      </c>
      <c r="E18" s="19">
        <f ca="1">'10_EQUIPAMENTOS'!H10</f>
        <v>-143</v>
      </c>
      <c r="F18" s="7"/>
      <c r="G18" s="7"/>
      <c r="H18" s="7"/>
      <c r="I18" s="7"/>
      <c r="J18" s="7"/>
      <c r="K18" s="7"/>
      <c r="L18" s="7"/>
    </row>
    <row r="19" spans="1:12" ht="34.049999999999997" customHeight="1">
      <c r="A19" s="17"/>
      <c r="B19" s="7"/>
      <c r="C19" s="19" t="str">
        <f>'10_EQUIPAMENTOS'!A11</f>
        <v>Cadeira Extensora</v>
      </c>
      <c r="D19" s="19" t="str">
        <f ca="1">'10_EQUIPAMENTOS'!G11</f>
        <v>🟢 EM DIA</v>
      </c>
      <c r="E19" s="19">
        <f ca="1">'10_EQUIPAMENTOS'!H11</f>
        <v>71</v>
      </c>
      <c r="F19" s="7"/>
      <c r="G19" s="7"/>
      <c r="H19" s="7"/>
      <c r="I19" s="7"/>
      <c r="J19" s="7"/>
      <c r="K19" s="7"/>
      <c r="L19" s="7"/>
    </row>
    <row r="20" spans="1:12" ht="34.049999999999997" customHeight="1">
      <c r="A20" s="17"/>
      <c r="B20" s="7"/>
      <c r="C20" s="19" t="str">
        <f>'10_EQUIPAMENTOS'!A12</f>
        <v>Puxada Alta</v>
      </c>
      <c r="D20" s="19" t="str">
        <f ca="1">'10_EQUIPAMENTOS'!G12</f>
        <v>🔴 VENCIDA</v>
      </c>
      <c r="E20" s="19">
        <f ca="1">'10_EQUIPAMENTOS'!H12</f>
        <v>-21</v>
      </c>
      <c r="F20" s="7"/>
      <c r="G20" s="7"/>
      <c r="H20" s="7"/>
      <c r="I20" s="7"/>
      <c r="J20" s="7"/>
      <c r="K20" s="7"/>
      <c r="L20" s="7"/>
    </row>
    <row r="21" spans="1:12" ht="34.049999999999997" customHeight="1">
      <c r="A21" s="17"/>
      <c r="B21" s="7"/>
      <c r="C21" s="19" t="str">
        <f>'10_EQUIPAMENTOS'!A13</f>
        <v>Halteres (kit 1-40kg)</v>
      </c>
      <c r="D21" s="19" t="str">
        <f ca="1">'10_EQUIPAMENTOS'!G13</f>
        <v>🟢 EM DIA</v>
      </c>
      <c r="E21" s="19">
        <f ca="1">'10_EQUIPAMENTOS'!H13</f>
        <v>132</v>
      </c>
      <c r="F21" s="7"/>
      <c r="G21" s="7"/>
      <c r="H21" s="7"/>
      <c r="I21" s="7"/>
      <c r="J21" s="7"/>
      <c r="K21" s="7"/>
      <c r="L21" s="7"/>
    </row>
    <row r="22" spans="1:12" ht="34.049999999999997" customHeight="1">
      <c r="A22" s="1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</row>
    <row r="23" spans="1:12" ht="34.049999999999997" customHeight="1">
      <c r="A23" s="1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1:12">
      <c r="A24" s="5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1:12">
      <c r="A25" s="5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1:12">
      <c r="A27" s="5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</row>
    <row r="28" spans="1:12">
      <c r="A28" s="5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</row>
    <row r="29" spans="1:12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</row>
    <row r="30" spans="1:12">
      <c r="A30" s="5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1:12">
      <c r="A31" s="5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</row>
    <row r="32" spans="1:12">
      <c r="A32" s="5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1:12">
      <c r="A33" s="5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</row>
    <row r="34" spans="1:12">
      <c r="A34" s="5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</row>
    <row r="35" spans="1:12">
      <c r="A35" s="5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</row>
    <row r="37" spans="1:12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</row>
    <row r="38" spans="1:12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</row>
    <row r="39" spans="1:12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</row>
    <row r="40" spans="1:12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</row>
  </sheetData>
  <mergeCells count="12">
    <mergeCell ref="I7:J7"/>
    <mergeCell ref="C12:F12"/>
    <mergeCell ref="C2:I2"/>
    <mergeCell ref="C1:I1"/>
    <mergeCell ref="I8:J9"/>
    <mergeCell ref="G8:H9"/>
    <mergeCell ref="E8:F9"/>
    <mergeCell ref="C8:D9"/>
    <mergeCell ref="C7:D7"/>
    <mergeCell ref="G7:H7"/>
    <mergeCell ref="E7:F7"/>
    <mergeCell ref="C5:H5"/>
  </mergeCells>
  <pageMargins left="0.75" right="0.75" top="1" bottom="1" header="0.5" footer="0.5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1">
    <tabColor rgb="FFD4AF37"/>
  </sheetPr>
  <dimension ref="A1:N55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12" customWidth="1"/>
    <col min="4" max="4" width="22" customWidth="1"/>
    <col min="5" max="5" width="18" customWidth="1"/>
    <col min="6" max="6" width="10" customWidth="1"/>
    <col min="7" max="11" width="12" customWidth="1"/>
    <col min="12" max="12" width="10" customWidth="1"/>
  </cols>
  <sheetData>
    <row r="1" spans="1:14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87"/>
      <c r="L1" s="1"/>
      <c r="M1" s="6" t="s">
        <v>7</v>
      </c>
      <c r="N1" s="7"/>
    </row>
    <row r="2" spans="1:14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87"/>
      <c r="L2" s="9"/>
      <c r="M2" s="10" t="str">
        <f ca="1">TEXT(DAY(NOW()),"00")&amp;"/"&amp;TEXT(MONTH(NOW()),"00")&amp;"/"&amp;YEAR(NOW())&amp;" "&amp;TEXT(HOUR(NOW()),"00")&amp;":"&amp;TEXT(MINUTE(NOW()),"00")</f>
        <v>22/07/2026 14:42</v>
      </c>
      <c r="N2" s="7"/>
    </row>
    <row r="3" spans="1:14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7"/>
    </row>
    <row r="4" spans="1:14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ht="22.8">
      <c r="A5" s="5"/>
      <c r="B5" s="7"/>
      <c r="C5" s="98" t="s">
        <v>422</v>
      </c>
      <c r="D5" s="87"/>
      <c r="E5" s="87"/>
      <c r="F5" s="87"/>
      <c r="G5" s="87"/>
      <c r="H5" s="87"/>
      <c r="I5" s="94" t="s">
        <v>423</v>
      </c>
      <c r="J5" s="87"/>
      <c r="K5" s="87"/>
      <c r="L5" s="87"/>
      <c r="M5" s="7"/>
      <c r="N5" s="7"/>
    </row>
    <row r="6" spans="1:14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4" ht="16.05" customHeight="1">
      <c r="A7" s="17"/>
      <c r="B7" s="7"/>
      <c r="C7" s="130" t="s">
        <v>424</v>
      </c>
      <c r="D7" s="128"/>
      <c r="E7" s="130" t="s">
        <v>425</v>
      </c>
      <c r="F7" s="128"/>
      <c r="G7" s="130" t="s">
        <v>426</v>
      </c>
      <c r="H7" s="128"/>
      <c r="I7" s="130" t="s">
        <v>427</v>
      </c>
      <c r="J7" s="128"/>
      <c r="K7" s="7"/>
      <c r="L7" s="7"/>
      <c r="M7" s="7"/>
      <c r="N7" s="7"/>
    </row>
    <row r="8" spans="1:14" ht="19.95" customHeight="1">
      <c r="A8" s="17"/>
      <c r="B8" s="7"/>
      <c r="C8" s="131">
        <f>BI_BASE!E28</f>
        <v>0</v>
      </c>
      <c r="D8" s="128"/>
      <c r="E8" s="131">
        <f>BI_BASE!E29</f>
        <v>0</v>
      </c>
      <c r="F8" s="128"/>
      <c r="G8" s="131">
        <f>BI_BASE!E30</f>
        <v>0</v>
      </c>
      <c r="H8" s="128"/>
      <c r="I8" s="131">
        <f>BI_BASE!E31</f>
        <v>0</v>
      </c>
      <c r="J8" s="128"/>
      <c r="K8" s="7"/>
      <c r="L8" s="7"/>
      <c r="M8" s="7"/>
      <c r="N8" s="7"/>
    </row>
    <row r="9" spans="1:14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  <c r="N9" s="7"/>
    </row>
    <row r="10" spans="1:14" ht="34.049999999999997" customHeight="1">
      <c r="A10" s="15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4" ht="34.049999999999997" customHeight="1">
      <c r="A11" s="17"/>
      <c r="B11" s="7"/>
      <c r="C11" s="97" t="s">
        <v>428</v>
      </c>
      <c r="D11" s="87"/>
      <c r="E11" s="87"/>
      <c r="F11" s="87"/>
      <c r="G11" s="87"/>
      <c r="H11" s="87"/>
      <c r="I11" s="7"/>
      <c r="J11" s="7"/>
      <c r="K11" s="7"/>
      <c r="L11" s="7"/>
      <c r="M11" s="7"/>
      <c r="N11" s="7"/>
    </row>
    <row r="12" spans="1:14" ht="34.049999999999997" customHeight="1">
      <c r="A12" s="17"/>
      <c r="B12" s="7"/>
      <c r="C12" s="18" t="s">
        <v>12</v>
      </c>
      <c r="D12" s="18" t="s">
        <v>26</v>
      </c>
      <c r="E12" s="18" t="s">
        <v>294</v>
      </c>
      <c r="F12" s="18" t="s">
        <v>429</v>
      </c>
      <c r="G12" s="18" t="s">
        <v>28</v>
      </c>
      <c r="H12" s="18" t="s">
        <v>430</v>
      </c>
      <c r="I12" s="7"/>
      <c r="J12" s="7"/>
      <c r="K12" s="7"/>
      <c r="L12" s="7"/>
      <c r="M12" s="7"/>
      <c r="N12" s="7"/>
    </row>
    <row r="13" spans="1:14" ht="34.049999999999997" customHeight="1">
      <c r="A13" s="17"/>
      <c r="B13" s="7"/>
      <c r="C13" s="19"/>
      <c r="D13" s="19"/>
      <c r="E13" s="19"/>
      <c r="F13" s="19"/>
      <c r="G13" s="19"/>
      <c r="H13" s="19"/>
      <c r="I13" s="7"/>
      <c r="J13" s="7"/>
      <c r="K13" s="7"/>
      <c r="L13" s="7"/>
      <c r="M13" s="7"/>
      <c r="N13" s="7"/>
    </row>
    <row r="14" spans="1:14" ht="34.049999999999997" customHeight="1">
      <c r="A14" s="17"/>
      <c r="B14" s="7"/>
      <c r="C14" s="19"/>
      <c r="D14" s="19"/>
      <c r="E14" s="19"/>
      <c r="F14" s="19"/>
      <c r="G14" s="19"/>
      <c r="H14" s="19"/>
      <c r="I14" s="7"/>
      <c r="J14" s="7"/>
      <c r="K14" s="7"/>
      <c r="L14" s="7"/>
      <c r="M14" s="7"/>
      <c r="N14" s="7"/>
    </row>
    <row r="15" spans="1:14" ht="34.049999999999997" customHeight="1">
      <c r="A15" s="17"/>
      <c r="B15" s="7"/>
      <c r="C15" s="19"/>
      <c r="D15" s="19"/>
      <c r="E15" s="19"/>
      <c r="F15" s="19"/>
      <c r="G15" s="19"/>
      <c r="H15" s="19"/>
      <c r="I15" s="7"/>
      <c r="J15" s="7"/>
      <c r="K15" s="7"/>
      <c r="L15" s="7"/>
      <c r="M15" s="7"/>
      <c r="N15" s="7"/>
    </row>
    <row r="16" spans="1:14" ht="34.049999999999997" customHeight="1">
      <c r="A16" s="17"/>
      <c r="B16" s="7"/>
      <c r="C16" s="19"/>
      <c r="D16" s="19"/>
      <c r="E16" s="19"/>
      <c r="F16" s="19"/>
      <c r="G16" s="19"/>
      <c r="H16" s="19"/>
      <c r="I16" s="7"/>
      <c r="J16" s="7"/>
      <c r="K16" s="7"/>
      <c r="L16" s="7"/>
      <c r="M16" s="7"/>
      <c r="N16" s="7"/>
    </row>
    <row r="17" spans="1:14" ht="34.049999999999997" customHeight="1">
      <c r="A17" s="17"/>
      <c r="B17" s="7"/>
      <c r="C17" s="19"/>
      <c r="D17" s="19"/>
      <c r="E17" s="19"/>
      <c r="F17" s="19"/>
      <c r="G17" s="19"/>
      <c r="H17" s="19"/>
      <c r="I17" s="7"/>
      <c r="J17" s="7"/>
      <c r="K17" s="7"/>
      <c r="L17" s="7"/>
      <c r="M17" s="7"/>
      <c r="N17" s="7"/>
    </row>
    <row r="18" spans="1:14" ht="34.049999999999997" customHeight="1">
      <c r="A18" s="17"/>
      <c r="B18" s="7"/>
      <c r="C18" s="19"/>
      <c r="D18" s="19"/>
      <c r="E18" s="19"/>
      <c r="F18" s="19"/>
      <c r="G18" s="19"/>
      <c r="H18" s="19"/>
      <c r="I18" s="7"/>
      <c r="J18" s="7"/>
      <c r="K18" s="7"/>
      <c r="L18" s="7"/>
      <c r="M18" s="7"/>
      <c r="N18" s="7"/>
    </row>
    <row r="19" spans="1:14" ht="34.049999999999997" customHeight="1">
      <c r="A19" s="17"/>
      <c r="B19" s="7"/>
      <c r="C19" s="19"/>
      <c r="D19" s="19"/>
      <c r="E19" s="19"/>
      <c r="F19" s="19"/>
      <c r="G19" s="19"/>
      <c r="H19" s="19"/>
      <c r="I19" s="7"/>
      <c r="J19" s="7"/>
      <c r="K19" s="7"/>
      <c r="L19" s="7"/>
      <c r="M19" s="7"/>
      <c r="N19" s="7"/>
    </row>
    <row r="20" spans="1:14" ht="34.049999999999997" customHeight="1">
      <c r="A20" s="17"/>
      <c r="B20" s="7"/>
      <c r="C20" s="19"/>
      <c r="D20" s="19"/>
      <c r="E20" s="19"/>
      <c r="F20" s="19"/>
      <c r="G20" s="19"/>
      <c r="H20" s="19"/>
      <c r="I20" s="7"/>
      <c r="J20" s="7"/>
      <c r="K20" s="7"/>
      <c r="L20" s="7"/>
      <c r="M20" s="7"/>
      <c r="N20" s="7"/>
    </row>
    <row r="21" spans="1:14" ht="34.049999999999997" customHeight="1">
      <c r="A21" s="17"/>
      <c r="B21" s="7"/>
      <c r="C21" s="19"/>
      <c r="D21" s="19"/>
      <c r="E21" s="19"/>
      <c r="F21" s="19"/>
      <c r="G21" s="19"/>
      <c r="H21" s="19"/>
      <c r="I21" s="7"/>
      <c r="J21" s="7"/>
      <c r="K21" s="7"/>
      <c r="L21" s="7"/>
      <c r="M21" s="7"/>
      <c r="N21" s="7"/>
    </row>
    <row r="22" spans="1:14" ht="34.049999999999997" customHeight="1">
      <c r="A22" s="17"/>
      <c r="B22" s="7"/>
      <c r="C22" s="19"/>
      <c r="D22" s="19"/>
      <c r="E22" s="19"/>
      <c r="F22" s="19"/>
      <c r="G22" s="19"/>
      <c r="H22" s="19"/>
      <c r="I22" s="7"/>
      <c r="J22" s="7"/>
      <c r="K22" s="7"/>
      <c r="L22" s="7"/>
      <c r="M22" s="7"/>
      <c r="N22" s="7"/>
    </row>
    <row r="23" spans="1:14" ht="34.049999999999997" customHeight="1">
      <c r="A23" s="17"/>
      <c r="B23" s="7"/>
      <c r="C23" s="19"/>
      <c r="D23" s="19"/>
      <c r="E23" s="19"/>
      <c r="F23" s="19"/>
      <c r="G23" s="19"/>
      <c r="H23" s="19"/>
      <c r="I23" s="7"/>
      <c r="J23" s="7"/>
      <c r="K23" s="7"/>
      <c r="L23" s="7"/>
      <c r="M23" s="7"/>
      <c r="N23" s="7"/>
    </row>
    <row r="24" spans="1:14">
      <c r="A24" s="5"/>
      <c r="B24" s="7"/>
      <c r="C24" s="19"/>
      <c r="D24" s="19"/>
      <c r="E24" s="19"/>
      <c r="F24" s="19"/>
      <c r="G24" s="19"/>
      <c r="H24" s="19"/>
      <c r="I24" s="7"/>
      <c r="J24" s="7"/>
      <c r="K24" s="7"/>
      <c r="L24" s="7"/>
      <c r="M24" s="7"/>
      <c r="N24" s="7"/>
    </row>
    <row r="25" spans="1:14">
      <c r="A25" s="5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1:14" ht="18">
      <c r="A26" s="5"/>
      <c r="B26" s="7"/>
      <c r="C26" s="97" t="s">
        <v>431</v>
      </c>
      <c r="D26" s="87"/>
      <c r="E26" s="87"/>
      <c r="F26" s="87"/>
      <c r="G26" s="87"/>
      <c r="H26" s="87"/>
      <c r="I26" s="87"/>
      <c r="J26" s="7"/>
      <c r="K26" s="7"/>
      <c r="L26" s="7"/>
      <c r="M26" s="7"/>
      <c r="N26" s="7"/>
    </row>
    <row r="27" spans="1:14">
      <c r="A27" s="5"/>
      <c r="B27" s="7"/>
      <c r="C27" s="63" t="s">
        <v>432</v>
      </c>
      <c r="D27" s="63" t="s">
        <v>433</v>
      </c>
      <c r="E27" s="63" t="s">
        <v>434</v>
      </c>
      <c r="F27" s="63" t="s">
        <v>435</v>
      </c>
      <c r="G27" s="63" t="s">
        <v>436</v>
      </c>
      <c r="H27" s="63" t="s">
        <v>437</v>
      </c>
      <c r="I27" s="63" t="s">
        <v>438</v>
      </c>
      <c r="J27" s="7"/>
      <c r="K27" s="7"/>
      <c r="L27" s="7"/>
      <c r="M27" s="7"/>
      <c r="N27" s="7"/>
    </row>
    <row r="28" spans="1:14" ht="18">
      <c r="A28" s="5"/>
      <c r="B28" s="7"/>
      <c r="C28" s="64">
        <v>0</v>
      </c>
      <c r="D28" s="64">
        <v>0</v>
      </c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7"/>
      <c r="K28" s="7"/>
      <c r="L28" s="7"/>
      <c r="M28" s="7"/>
      <c r="N28" s="7"/>
    </row>
    <row r="29" spans="1:14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4" ht="18">
      <c r="A30" s="5"/>
      <c r="B30" s="7"/>
      <c r="C30" s="97" t="s">
        <v>439</v>
      </c>
      <c r="D30" s="87"/>
      <c r="E30" s="87"/>
      <c r="F30" s="87"/>
      <c r="G30" s="87"/>
      <c r="H30" s="87"/>
      <c r="I30" s="97" t="s">
        <v>440</v>
      </c>
      <c r="J30" s="87"/>
      <c r="K30" s="87"/>
      <c r="L30" s="87"/>
      <c r="M30" s="7"/>
      <c r="N30" s="7"/>
    </row>
    <row r="31" spans="1:14">
      <c r="A31" s="5"/>
      <c r="B31" s="7"/>
      <c r="C31" s="18" t="s">
        <v>12</v>
      </c>
      <c r="D31" s="18" t="s">
        <v>289</v>
      </c>
      <c r="E31" s="18" t="s">
        <v>64</v>
      </c>
      <c r="F31" s="7"/>
      <c r="G31" s="7"/>
      <c r="H31" s="7"/>
      <c r="I31" s="18" t="s">
        <v>98</v>
      </c>
      <c r="J31" s="18" t="s">
        <v>441</v>
      </c>
      <c r="K31" s="7"/>
      <c r="L31" s="7"/>
      <c r="M31" s="7"/>
      <c r="N31" s="7"/>
    </row>
    <row r="32" spans="1:14">
      <c r="A32" s="5"/>
      <c r="B32" s="7"/>
      <c r="C32" s="19"/>
      <c r="D32" s="133"/>
      <c r="E32" s="134"/>
      <c r="F32" s="135"/>
      <c r="G32" s="7"/>
      <c r="H32" s="7"/>
      <c r="I32" s="19"/>
      <c r="J32" s="19"/>
      <c r="K32" s="7"/>
      <c r="L32" s="7"/>
      <c r="M32" s="7"/>
      <c r="N32" s="7"/>
    </row>
    <row r="33" spans="1:14">
      <c r="A33" s="5"/>
      <c r="B33" s="7"/>
      <c r="C33" s="19"/>
      <c r="D33" s="133"/>
      <c r="E33" s="134"/>
      <c r="F33" s="135"/>
      <c r="G33" s="7"/>
      <c r="H33" s="7"/>
      <c r="I33" s="19"/>
      <c r="J33" s="19"/>
      <c r="K33" s="7"/>
      <c r="L33" s="7"/>
      <c r="M33" s="7"/>
      <c r="N33" s="7"/>
    </row>
    <row r="34" spans="1:14">
      <c r="A34" s="5"/>
      <c r="B34" s="7"/>
      <c r="C34" s="19"/>
      <c r="D34" s="133"/>
      <c r="E34" s="134"/>
      <c r="F34" s="135"/>
      <c r="G34" s="7"/>
      <c r="H34" s="7"/>
      <c r="I34" s="19"/>
      <c r="J34" s="19"/>
      <c r="K34" s="7"/>
      <c r="L34" s="7"/>
      <c r="M34" s="7"/>
      <c r="N34" s="7"/>
    </row>
    <row r="35" spans="1:14">
      <c r="A35" s="5"/>
      <c r="B35" s="7"/>
      <c r="C35" s="19"/>
      <c r="D35" s="133"/>
      <c r="E35" s="134"/>
      <c r="F35" s="135"/>
      <c r="G35" s="7"/>
      <c r="H35" s="7"/>
      <c r="I35" s="19"/>
      <c r="J35" s="19"/>
      <c r="K35" s="7"/>
      <c r="L35" s="7"/>
      <c r="M35" s="7"/>
      <c r="N35" s="7"/>
    </row>
    <row r="36" spans="1:14">
      <c r="A36" s="5"/>
      <c r="B36" s="7"/>
      <c r="C36" s="19"/>
      <c r="D36" s="133"/>
      <c r="E36" s="134"/>
      <c r="F36" s="135"/>
      <c r="G36" s="7"/>
      <c r="H36" s="7"/>
      <c r="I36" s="19"/>
      <c r="J36" s="19"/>
      <c r="K36" s="7"/>
      <c r="L36" s="7"/>
      <c r="M36" s="7"/>
      <c r="N36" s="7"/>
    </row>
    <row r="37" spans="1:14">
      <c r="A37" s="5"/>
      <c r="B37" s="7"/>
      <c r="C37" s="19"/>
      <c r="D37" s="133"/>
      <c r="E37" s="134"/>
      <c r="F37" s="135"/>
      <c r="G37" s="7"/>
      <c r="H37" s="7"/>
      <c r="I37" s="19"/>
      <c r="J37" s="19"/>
      <c r="K37" s="7"/>
      <c r="L37" s="7"/>
      <c r="M37" s="7"/>
      <c r="N37" s="7"/>
    </row>
    <row r="38" spans="1:14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</row>
    <row r="39" spans="1:14" ht="18">
      <c r="A39" s="5"/>
      <c r="B39" s="7"/>
      <c r="C39" s="97" t="s">
        <v>442</v>
      </c>
      <c r="D39" s="87"/>
      <c r="E39" s="87"/>
      <c r="F39" s="87"/>
      <c r="G39" s="7"/>
      <c r="H39" s="7"/>
      <c r="I39" s="7"/>
      <c r="J39" s="7"/>
      <c r="K39" s="7"/>
      <c r="L39" s="7"/>
      <c r="M39" s="7"/>
      <c r="N39" s="7"/>
    </row>
    <row r="40" spans="1:14">
      <c r="A40" s="5"/>
      <c r="B40" s="7"/>
      <c r="C40" s="18" t="s">
        <v>294</v>
      </c>
      <c r="D40" s="18" t="s">
        <v>16</v>
      </c>
      <c r="E40" s="7"/>
      <c r="F40" s="7"/>
      <c r="G40" s="7"/>
      <c r="H40" s="7"/>
      <c r="I40" s="7"/>
      <c r="J40" s="7"/>
      <c r="K40" s="7"/>
      <c r="L40" s="7"/>
      <c r="M40" s="7"/>
      <c r="N40" s="7"/>
    </row>
    <row r="41" spans="1:14">
      <c r="A41" s="5"/>
      <c r="B41" s="7"/>
      <c r="C41" s="19" t="s">
        <v>443</v>
      </c>
      <c r="D41" s="19">
        <v>0</v>
      </c>
      <c r="E41" s="65" t="str">
        <f t="shared" ref="E41:E47" si="0">IF(D41=0,"",REPT("█",MIN(20,D41)))</f>
        <v/>
      </c>
      <c r="F41" s="7"/>
      <c r="G41" s="7"/>
      <c r="H41" s="7"/>
      <c r="I41" s="7"/>
      <c r="J41" s="7"/>
      <c r="K41" s="7"/>
      <c r="L41" s="7"/>
      <c r="M41" s="7"/>
      <c r="N41" s="7"/>
    </row>
    <row r="42" spans="1:14">
      <c r="A42" s="5"/>
      <c r="B42" s="7"/>
      <c r="C42" s="19" t="s">
        <v>278</v>
      </c>
      <c r="D42" s="19">
        <v>0</v>
      </c>
      <c r="E42" s="65" t="str">
        <f t="shared" si="0"/>
        <v/>
      </c>
      <c r="F42" s="7"/>
      <c r="G42" s="7"/>
      <c r="H42" s="7"/>
      <c r="I42" s="7"/>
      <c r="J42" s="7"/>
      <c r="K42" s="7"/>
      <c r="L42" s="7"/>
      <c r="M42" s="7"/>
      <c r="N42" s="7"/>
    </row>
    <row r="43" spans="1:14">
      <c r="A43" s="5"/>
      <c r="B43" s="7"/>
      <c r="C43" s="19" t="s">
        <v>444</v>
      </c>
      <c r="D43" s="19">
        <v>0</v>
      </c>
      <c r="E43" s="65" t="str">
        <f t="shared" si="0"/>
        <v/>
      </c>
      <c r="F43" s="7"/>
      <c r="G43" s="7"/>
      <c r="H43" s="7"/>
      <c r="I43" s="7"/>
      <c r="J43" s="7"/>
      <c r="K43" s="7"/>
      <c r="L43" s="7"/>
      <c r="M43" s="7"/>
      <c r="N43" s="7"/>
    </row>
    <row r="44" spans="1:14">
      <c r="A44" s="5"/>
      <c r="B44" s="7"/>
      <c r="C44" s="19" t="s">
        <v>445</v>
      </c>
      <c r="D44" s="19">
        <v>0</v>
      </c>
      <c r="E44" s="65" t="str">
        <f t="shared" si="0"/>
        <v/>
      </c>
      <c r="F44" s="7"/>
      <c r="G44" s="7"/>
      <c r="H44" s="7"/>
      <c r="I44" s="7"/>
      <c r="J44" s="7"/>
      <c r="K44" s="7"/>
      <c r="L44" s="7"/>
      <c r="M44" s="7"/>
      <c r="N44" s="7"/>
    </row>
    <row r="45" spans="1:14">
      <c r="A45" s="5"/>
      <c r="B45" s="7"/>
      <c r="C45" s="19" t="s">
        <v>256</v>
      </c>
      <c r="D45" s="19">
        <v>0</v>
      </c>
      <c r="E45" s="65" t="str">
        <f t="shared" si="0"/>
        <v/>
      </c>
      <c r="F45" s="7"/>
      <c r="G45" s="7"/>
      <c r="H45" s="7"/>
      <c r="I45" s="7"/>
      <c r="J45" s="7"/>
      <c r="K45" s="7"/>
      <c r="L45" s="7"/>
      <c r="M45" s="7"/>
      <c r="N45" s="7"/>
    </row>
    <row r="46" spans="1:14">
      <c r="A46" s="5"/>
      <c r="B46" s="7"/>
      <c r="C46" s="19" t="s">
        <v>446</v>
      </c>
      <c r="D46" s="19">
        <v>0</v>
      </c>
      <c r="E46" s="65" t="str">
        <f t="shared" si="0"/>
        <v/>
      </c>
      <c r="F46" s="7"/>
      <c r="G46" s="7"/>
      <c r="H46" s="7"/>
      <c r="I46" s="7"/>
      <c r="J46" s="7"/>
      <c r="K46" s="7"/>
      <c r="L46" s="7"/>
      <c r="M46" s="7"/>
      <c r="N46" s="7"/>
    </row>
    <row r="47" spans="1:14">
      <c r="A47" s="5"/>
      <c r="B47" s="7"/>
      <c r="C47" s="19" t="s">
        <v>20</v>
      </c>
      <c r="D47" s="19">
        <v>0</v>
      </c>
      <c r="E47" s="65" t="str">
        <f t="shared" si="0"/>
        <v/>
      </c>
      <c r="F47" s="7"/>
      <c r="G47" s="7"/>
      <c r="H47" s="7"/>
      <c r="I47" s="7"/>
      <c r="J47" s="7"/>
      <c r="K47" s="7"/>
      <c r="L47" s="7"/>
      <c r="M47" s="7"/>
      <c r="N47" s="7"/>
    </row>
    <row r="48" spans="1:14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>
      <c r="A49" s="5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>
      <c r="A50" s="5"/>
      <c r="B50" s="7"/>
      <c r="C50" s="94" t="s">
        <v>447</v>
      </c>
      <c r="D50" s="87"/>
      <c r="E50" s="87"/>
      <c r="F50" s="87"/>
      <c r="G50" s="87"/>
      <c r="H50" s="87"/>
      <c r="I50" s="87"/>
      <c r="J50" s="87"/>
      <c r="K50" s="87"/>
      <c r="L50" s="87"/>
      <c r="M50" s="7"/>
      <c r="N50" s="7"/>
    </row>
    <row r="51" spans="1:14">
      <c r="A51" s="5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>
      <c r="A52" s="5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>
      <c r="A53" s="5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>
      <c r="A54" s="5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>
      <c r="A55" s="5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</sheetData>
  <mergeCells count="24">
    <mergeCell ref="C5:H5"/>
    <mergeCell ref="D36:F36"/>
    <mergeCell ref="I5:L5"/>
    <mergeCell ref="C30:H30"/>
    <mergeCell ref="D34:F34"/>
    <mergeCell ref="C50:L50"/>
    <mergeCell ref="C7:D7"/>
    <mergeCell ref="E7:F7"/>
    <mergeCell ref="C1:K1"/>
    <mergeCell ref="C39:F39"/>
    <mergeCell ref="D32:F32"/>
    <mergeCell ref="I8:J9"/>
    <mergeCell ref="C8:D9"/>
    <mergeCell ref="C2:K2"/>
    <mergeCell ref="C11:H11"/>
    <mergeCell ref="G7:H7"/>
    <mergeCell ref="D37:F37"/>
    <mergeCell ref="I7:J7"/>
    <mergeCell ref="I30:L30"/>
    <mergeCell ref="D33:F33"/>
    <mergeCell ref="C26:I26"/>
    <mergeCell ref="D35:F35"/>
    <mergeCell ref="E8:F9"/>
    <mergeCell ref="G8:H9"/>
  </mergeCells>
  <pageMargins left="0.75" right="0.75" top="1" bottom="1" header="0.5" footer="0.5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>
    <tabColor rgb="FFD4AF37"/>
  </sheetPr>
  <dimension ref="A1:N58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8" customWidth="1"/>
    <col min="4" max="4" width="20" customWidth="1"/>
    <col min="5" max="5" width="14" customWidth="1"/>
    <col min="6" max="6" width="18" customWidth="1"/>
    <col min="7" max="9" width="12" customWidth="1"/>
    <col min="10" max="11" width="14" customWidth="1"/>
    <col min="12" max="13" width="12" customWidth="1"/>
  </cols>
  <sheetData>
    <row r="1" spans="1:14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87"/>
      <c r="L1" s="1"/>
      <c r="M1" s="6" t="s">
        <v>7</v>
      </c>
      <c r="N1" s="7"/>
    </row>
    <row r="2" spans="1:14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87"/>
      <c r="L2" s="9"/>
      <c r="M2" s="10" t="str">
        <f ca="1">TEXT(DAY(NOW()),"00")&amp;"/"&amp;TEXT(MONTH(NOW()),"00")&amp;"/"&amp;YEAR(NOW())&amp;" "&amp;TEXT(HOUR(NOW()),"00")&amp;":"&amp;TEXT(MINUTE(NOW()),"00")</f>
        <v>22/07/2026 14:42</v>
      </c>
      <c r="N2" s="7"/>
    </row>
    <row r="3" spans="1:14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7"/>
    </row>
    <row r="4" spans="1:14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ht="22.8">
      <c r="A5" s="5"/>
      <c r="B5" s="7"/>
      <c r="C5" s="98" t="s">
        <v>448</v>
      </c>
      <c r="D5" s="87"/>
      <c r="E5" s="87"/>
      <c r="F5" s="87"/>
      <c r="G5" s="87"/>
      <c r="H5" s="87"/>
      <c r="I5" s="7"/>
      <c r="J5" s="7"/>
      <c r="K5" s="7"/>
      <c r="L5" s="7"/>
      <c r="M5" s="7"/>
      <c r="N5" s="7"/>
    </row>
    <row r="6" spans="1:14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4" ht="16.05" customHeight="1">
      <c r="A7" s="17"/>
      <c r="B7" s="7"/>
      <c r="C7" s="130" t="s">
        <v>449</v>
      </c>
      <c r="D7" s="128"/>
      <c r="E7" s="130" t="s">
        <v>393</v>
      </c>
      <c r="F7" s="128"/>
      <c r="G7" s="130" t="s">
        <v>450</v>
      </c>
      <c r="H7" s="128"/>
      <c r="I7" s="130" t="s">
        <v>451</v>
      </c>
      <c r="J7" s="128"/>
      <c r="K7" s="7"/>
      <c r="L7" s="7"/>
      <c r="M7" s="7"/>
      <c r="N7" s="7"/>
    </row>
    <row r="8" spans="1:14" ht="19.95" customHeight="1">
      <c r="A8" s="17"/>
      <c r="B8" s="7"/>
      <c r="C8" s="131">
        <v>0</v>
      </c>
      <c r="D8" s="128"/>
      <c r="E8" s="131" t="s">
        <v>452</v>
      </c>
      <c r="F8" s="128"/>
      <c r="G8" s="131">
        <v>0</v>
      </c>
      <c r="H8" s="128"/>
      <c r="I8" s="131">
        <v>0</v>
      </c>
      <c r="J8" s="128"/>
      <c r="K8" s="7"/>
      <c r="L8" s="7"/>
      <c r="M8" s="7"/>
      <c r="N8" s="7"/>
    </row>
    <row r="9" spans="1:14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  <c r="N9" s="7"/>
    </row>
    <row r="10" spans="1:14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4" ht="34.049999999999997" customHeight="1">
      <c r="A11" s="17"/>
      <c r="B11" s="7"/>
      <c r="C11" s="97" t="s">
        <v>453</v>
      </c>
      <c r="D11" s="87"/>
      <c r="E11" s="87"/>
      <c r="F11" s="7"/>
      <c r="G11" s="97" t="s">
        <v>454</v>
      </c>
      <c r="H11" s="87"/>
      <c r="I11" s="87"/>
      <c r="J11" s="87"/>
      <c r="K11" s="87"/>
      <c r="L11" s="7"/>
      <c r="M11" s="7"/>
      <c r="N11" s="7"/>
    </row>
    <row r="12" spans="1:14" ht="34.049999999999997" customHeight="1">
      <c r="A12" s="17"/>
      <c r="B12" s="7"/>
      <c r="C12" s="7"/>
      <c r="D12" s="7"/>
      <c r="E12" s="7"/>
      <c r="F12" s="7"/>
      <c r="G12" s="18" t="s">
        <v>26</v>
      </c>
      <c r="H12" s="18" t="s">
        <v>13</v>
      </c>
      <c r="I12" s="18" t="s">
        <v>455</v>
      </c>
      <c r="J12" s="18" t="s">
        <v>456</v>
      </c>
      <c r="K12" s="7"/>
      <c r="L12" s="7"/>
      <c r="M12" s="7"/>
      <c r="N12" s="7"/>
    </row>
    <row r="13" spans="1:14" ht="34.049999999999997" customHeight="1">
      <c r="A13" s="15"/>
      <c r="B13" s="7"/>
      <c r="C13" s="66" t="s">
        <v>457</v>
      </c>
      <c r="D13" s="23">
        <v>0</v>
      </c>
      <c r="E13" s="19"/>
      <c r="F13" s="7"/>
      <c r="G13" s="19"/>
      <c r="H13" s="19"/>
      <c r="I13" s="19"/>
      <c r="J13" s="19"/>
      <c r="K13" s="7"/>
      <c r="L13" s="7"/>
      <c r="M13" s="7"/>
      <c r="N13" s="7"/>
    </row>
    <row r="14" spans="1:14" ht="34.049999999999997" customHeight="1">
      <c r="A14" s="17"/>
      <c r="B14" s="7"/>
      <c r="C14" s="66" t="s">
        <v>458</v>
      </c>
      <c r="D14" s="23">
        <v>0</v>
      </c>
      <c r="E14" s="19"/>
      <c r="F14" s="7"/>
      <c r="G14" s="19"/>
      <c r="H14" s="19"/>
      <c r="I14" s="19"/>
      <c r="J14" s="19"/>
      <c r="K14" s="7"/>
      <c r="L14" s="7"/>
      <c r="M14" s="7"/>
      <c r="N14" s="7"/>
    </row>
    <row r="15" spans="1:14" ht="34.049999999999997" customHeight="1">
      <c r="A15" s="17"/>
      <c r="B15" s="7"/>
      <c r="C15" s="66" t="s">
        <v>459</v>
      </c>
      <c r="D15" s="23">
        <v>0</v>
      </c>
      <c r="E15" s="19"/>
      <c r="F15" s="7"/>
      <c r="G15" s="19"/>
      <c r="H15" s="19"/>
      <c r="I15" s="19"/>
      <c r="J15" s="19"/>
      <c r="K15" s="7"/>
      <c r="L15" s="7"/>
      <c r="M15" s="7"/>
      <c r="N15" s="7"/>
    </row>
    <row r="16" spans="1:14" ht="34.049999999999997" customHeight="1">
      <c r="A16" s="17"/>
      <c r="B16" s="7"/>
      <c r="C16" s="66" t="s">
        <v>460</v>
      </c>
      <c r="D16" s="23">
        <v>0</v>
      </c>
      <c r="E16" s="19"/>
      <c r="F16" s="7"/>
      <c r="G16" s="19"/>
      <c r="H16" s="19"/>
      <c r="I16" s="19"/>
      <c r="J16" s="19"/>
      <c r="K16" s="7"/>
      <c r="L16" s="7"/>
      <c r="M16" s="7"/>
      <c r="N16" s="7"/>
    </row>
    <row r="17" spans="1:14" ht="34.049999999999997" customHeight="1">
      <c r="A17" s="17"/>
      <c r="B17" s="7"/>
      <c r="C17" s="66" t="s">
        <v>461</v>
      </c>
      <c r="D17" s="23">
        <v>0</v>
      </c>
      <c r="E17" s="19"/>
      <c r="F17" s="7"/>
      <c r="G17" s="19"/>
      <c r="H17" s="19"/>
      <c r="I17" s="19"/>
      <c r="J17" s="19"/>
      <c r="K17" s="7"/>
      <c r="L17" s="7"/>
      <c r="M17" s="7"/>
      <c r="N17" s="7"/>
    </row>
    <row r="18" spans="1:14" ht="34.049999999999997" customHeight="1">
      <c r="A18" s="17"/>
      <c r="B18" s="7"/>
      <c r="C18" s="7"/>
      <c r="D18" s="7"/>
      <c r="E18" s="7"/>
      <c r="F18" s="7"/>
      <c r="G18" s="19"/>
      <c r="H18" s="19"/>
      <c r="I18" s="19"/>
      <c r="J18" s="19"/>
      <c r="K18" s="7"/>
      <c r="L18" s="7"/>
      <c r="M18" s="7"/>
      <c r="N18" s="7"/>
    </row>
    <row r="19" spans="1:14" ht="34.049999999999997" customHeight="1">
      <c r="A19" s="17"/>
      <c r="B19" s="7"/>
      <c r="C19" s="97" t="s">
        <v>462</v>
      </c>
      <c r="D19" s="87"/>
      <c r="E19" s="87"/>
      <c r="F19" s="87"/>
      <c r="G19" s="87"/>
      <c r="H19" s="87"/>
      <c r="I19" s="87"/>
      <c r="J19" s="87"/>
      <c r="K19" s="87"/>
      <c r="L19" s="7"/>
      <c r="M19" s="7"/>
      <c r="N19" s="7"/>
    </row>
    <row r="20" spans="1:14" ht="34.049999999999997" customHeight="1">
      <c r="A20" s="17"/>
      <c r="B20" s="7"/>
      <c r="C20" s="18" t="s">
        <v>70</v>
      </c>
      <c r="D20" s="18" t="s">
        <v>98</v>
      </c>
      <c r="E20" s="18" t="s">
        <v>101</v>
      </c>
      <c r="F20" s="18" t="s">
        <v>463</v>
      </c>
      <c r="G20" s="67" t="s">
        <v>464</v>
      </c>
      <c r="H20" s="67" t="s">
        <v>106</v>
      </c>
      <c r="I20" s="67" t="s">
        <v>430</v>
      </c>
      <c r="J20" s="67" t="s">
        <v>465</v>
      </c>
      <c r="K20" s="18" t="s">
        <v>217</v>
      </c>
      <c r="L20" s="7"/>
      <c r="M20" s="7"/>
      <c r="N20" s="7"/>
    </row>
    <row r="21" spans="1:14" ht="18" customHeight="1">
      <c r="A21" s="17"/>
      <c r="B21" s="7"/>
      <c r="C21" s="19"/>
      <c r="D21" s="19"/>
      <c r="E21" s="19"/>
      <c r="F21" s="19"/>
      <c r="G21" s="19"/>
      <c r="H21" s="19"/>
      <c r="I21" s="19"/>
      <c r="J21" s="19"/>
      <c r="K21" s="19"/>
      <c r="L21" s="7"/>
      <c r="M21" s="7"/>
      <c r="N21" s="7"/>
    </row>
    <row r="22" spans="1:14" ht="18" customHeight="1">
      <c r="A22" s="17"/>
      <c r="B22" s="7"/>
      <c r="C22" s="19"/>
      <c r="D22" s="19"/>
      <c r="E22" s="19"/>
      <c r="F22" s="19"/>
      <c r="G22" s="19"/>
      <c r="H22" s="19"/>
      <c r="I22" s="19"/>
      <c r="J22" s="19"/>
      <c r="K22" s="19"/>
      <c r="L22" s="7"/>
      <c r="M22" s="7"/>
      <c r="N22" s="7"/>
    </row>
    <row r="23" spans="1:14" ht="18" customHeight="1">
      <c r="A23" s="17"/>
      <c r="B23" s="7"/>
      <c r="C23" s="19"/>
      <c r="D23" s="19"/>
      <c r="E23" s="19"/>
      <c r="F23" s="19"/>
      <c r="G23" s="19"/>
      <c r="H23" s="19"/>
      <c r="I23" s="19"/>
      <c r="J23" s="19"/>
      <c r="K23" s="19"/>
      <c r="L23" s="7"/>
      <c r="M23" s="7"/>
      <c r="N23" s="7"/>
    </row>
    <row r="24" spans="1:14" ht="18" customHeight="1">
      <c r="A24" s="5"/>
      <c r="B24" s="7"/>
      <c r="C24" s="19"/>
      <c r="D24" s="19"/>
      <c r="E24" s="19"/>
      <c r="F24" s="19"/>
      <c r="G24" s="19"/>
      <c r="H24" s="19"/>
      <c r="I24" s="19"/>
      <c r="J24" s="19"/>
      <c r="K24" s="19"/>
      <c r="L24" s="7"/>
      <c r="M24" s="7"/>
      <c r="N24" s="7"/>
    </row>
    <row r="25" spans="1:14" ht="18" customHeight="1">
      <c r="A25" s="5"/>
      <c r="B25" s="7"/>
      <c r="C25" s="19"/>
      <c r="D25" s="19"/>
      <c r="E25" s="19"/>
      <c r="F25" s="19"/>
      <c r="G25" s="19"/>
      <c r="H25" s="19"/>
      <c r="I25" s="19"/>
      <c r="J25" s="19"/>
      <c r="K25" s="19"/>
      <c r="L25" s="7"/>
      <c r="M25" s="7"/>
      <c r="N25" s="7"/>
    </row>
    <row r="26" spans="1:14" ht="18" customHeight="1">
      <c r="A26" s="5"/>
      <c r="B26" s="7"/>
      <c r="C26" s="19"/>
      <c r="D26" s="19"/>
      <c r="E26" s="19"/>
      <c r="F26" s="19"/>
      <c r="G26" s="19"/>
      <c r="H26" s="19"/>
      <c r="I26" s="19"/>
      <c r="J26" s="19"/>
      <c r="K26" s="19"/>
      <c r="L26" s="7"/>
      <c r="M26" s="7"/>
      <c r="N26" s="7"/>
    </row>
    <row r="27" spans="1:14" ht="18" customHeight="1">
      <c r="A27" s="5"/>
      <c r="B27" s="7"/>
      <c r="C27" s="19"/>
      <c r="D27" s="19"/>
      <c r="E27" s="19"/>
      <c r="F27" s="19"/>
      <c r="G27" s="19"/>
      <c r="H27" s="19"/>
      <c r="I27" s="19"/>
      <c r="J27" s="19"/>
      <c r="K27" s="19"/>
      <c r="L27" s="7"/>
      <c r="M27" s="7"/>
      <c r="N27" s="7"/>
    </row>
    <row r="28" spans="1:14" ht="18" customHeight="1">
      <c r="A28" s="5"/>
      <c r="B28" s="7"/>
      <c r="C28" s="19"/>
      <c r="D28" s="19"/>
      <c r="E28" s="19"/>
      <c r="F28" s="19"/>
      <c r="G28" s="19"/>
      <c r="H28" s="19"/>
      <c r="I28" s="19"/>
      <c r="J28" s="19"/>
      <c r="K28" s="19"/>
      <c r="L28" s="7"/>
      <c r="M28" s="7"/>
      <c r="N28" s="7"/>
    </row>
    <row r="29" spans="1:14" ht="18" customHeight="1">
      <c r="A29" s="5"/>
      <c r="B29" s="7"/>
      <c r="C29" s="19"/>
      <c r="D29" s="19"/>
      <c r="E29" s="19"/>
      <c r="F29" s="19"/>
      <c r="G29" s="19"/>
      <c r="H29" s="19"/>
      <c r="I29" s="19"/>
      <c r="J29" s="19"/>
      <c r="K29" s="19"/>
      <c r="L29" s="7"/>
      <c r="M29" s="7"/>
      <c r="N29" s="7"/>
    </row>
    <row r="30" spans="1:14" ht="18" customHeight="1">
      <c r="A30" s="5"/>
      <c r="B30" s="7"/>
      <c r="C30" s="19"/>
      <c r="D30" s="19"/>
      <c r="E30" s="19"/>
      <c r="F30" s="19"/>
      <c r="G30" s="19"/>
      <c r="H30" s="19"/>
      <c r="I30" s="19"/>
      <c r="J30" s="19"/>
      <c r="K30" s="19"/>
      <c r="L30" s="7"/>
      <c r="M30" s="7"/>
      <c r="N30" s="7"/>
    </row>
    <row r="31" spans="1:14" ht="18" customHeight="1">
      <c r="A31" s="5"/>
      <c r="B31" s="7"/>
      <c r="C31" s="19"/>
      <c r="D31" s="19"/>
      <c r="E31" s="19"/>
      <c r="F31" s="19"/>
      <c r="G31" s="19"/>
      <c r="H31" s="19"/>
      <c r="I31" s="19"/>
      <c r="J31" s="19"/>
      <c r="K31" s="19"/>
      <c r="L31" s="7"/>
      <c r="M31" s="7"/>
      <c r="N31" s="7"/>
    </row>
    <row r="32" spans="1:14" ht="18" customHeight="1">
      <c r="A32" s="5"/>
      <c r="B32" s="7"/>
      <c r="C32" s="19"/>
      <c r="D32" s="19"/>
      <c r="E32" s="19"/>
      <c r="F32" s="19"/>
      <c r="G32" s="19"/>
      <c r="H32" s="19"/>
      <c r="I32" s="19"/>
      <c r="J32" s="19"/>
      <c r="K32" s="19"/>
      <c r="L32" s="7"/>
      <c r="M32" s="7"/>
      <c r="N32" s="7"/>
    </row>
    <row r="33" spans="1:14" ht="18" customHeight="1">
      <c r="A33" s="5"/>
      <c r="B33" s="7"/>
      <c r="C33" s="19"/>
      <c r="D33" s="19"/>
      <c r="E33" s="19"/>
      <c r="F33" s="19"/>
      <c r="G33" s="19"/>
      <c r="H33" s="19"/>
      <c r="I33" s="19"/>
      <c r="J33" s="19"/>
      <c r="K33" s="19"/>
      <c r="L33" s="7"/>
      <c r="M33" s="7"/>
      <c r="N33" s="7"/>
    </row>
    <row r="34" spans="1:14" ht="18" customHeight="1">
      <c r="A34" s="5"/>
      <c r="B34" s="7"/>
      <c r="C34" s="19"/>
      <c r="D34" s="19"/>
      <c r="E34" s="19"/>
      <c r="F34" s="19"/>
      <c r="G34" s="19"/>
      <c r="H34" s="19"/>
      <c r="I34" s="19"/>
      <c r="J34" s="19"/>
      <c r="K34" s="19"/>
      <c r="L34" s="7"/>
      <c r="M34" s="7"/>
      <c r="N34" s="7"/>
    </row>
    <row r="35" spans="1:14" ht="18" customHeight="1">
      <c r="A35" s="5"/>
      <c r="B35" s="7"/>
      <c r="C35" s="19"/>
      <c r="D35" s="19"/>
      <c r="E35" s="19"/>
      <c r="F35" s="19"/>
      <c r="G35" s="19"/>
      <c r="H35" s="19"/>
      <c r="I35" s="19"/>
      <c r="J35" s="19"/>
      <c r="K35" s="19"/>
      <c r="L35" s="7"/>
      <c r="M35" s="7"/>
      <c r="N35" s="7"/>
    </row>
    <row r="36" spans="1:14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</row>
    <row r="37" spans="1:14" ht="18">
      <c r="A37" s="5"/>
      <c r="B37" s="7"/>
      <c r="C37" s="97" t="s">
        <v>466</v>
      </c>
      <c r="D37" s="87"/>
      <c r="E37" s="87"/>
      <c r="F37" s="87"/>
      <c r="G37" s="87"/>
      <c r="H37" s="97" t="s">
        <v>467</v>
      </c>
      <c r="I37" s="87"/>
      <c r="J37" s="87"/>
      <c r="K37" s="87"/>
      <c r="L37" s="7"/>
      <c r="M37" s="7"/>
      <c r="N37" s="7"/>
    </row>
    <row r="38" spans="1:14">
      <c r="A38" s="5"/>
      <c r="B38" s="7"/>
      <c r="C38" s="18" t="s">
        <v>217</v>
      </c>
      <c r="D38" s="18" t="s">
        <v>294</v>
      </c>
      <c r="E38" s="18" t="s">
        <v>238</v>
      </c>
      <c r="F38" s="7"/>
      <c r="G38" s="7"/>
      <c r="H38" s="18" t="s">
        <v>177</v>
      </c>
      <c r="I38" s="18" t="s">
        <v>468</v>
      </c>
      <c r="J38" s="18" t="s">
        <v>106</v>
      </c>
      <c r="K38" s="7"/>
      <c r="L38" s="7"/>
      <c r="M38" s="7"/>
      <c r="N38" s="7"/>
    </row>
    <row r="39" spans="1:14">
      <c r="A39" s="5"/>
      <c r="B39" s="7"/>
      <c r="C39" s="19"/>
      <c r="D39" s="19"/>
      <c r="E39" s="19"/>
      <c r="F39" s="7"/>
      <c r="G39" s="7"/>
      <c r="H39" s="19"/>
      <c r="I39" s="19"/>
      <c r="J39" s="19"/>
      <c r="K39" s="7"/>
      <c r="L39" s="7"/>
      <c r="M39" s="7"/>
      <c r="N39" s="7"/>
    </row>
    <row r="40" spans="1:14">
      <c r="A40" s="5"/>
      <c r="B40" s="7"/>
      <c r="C40" s="19"/>
      <c r="D40" s="19"/>
      <c r="E40" s="19"/>
      <c r="F40" s="7"/>
      <c r="G40" s="7"/>
      <c r="H40" s="19"/>
      <c r="I40" s="19"/>
      <c r="J40" s="19"/>
      <c r="K40" s="7"/>
      <c r="L40" s="7"/>
      <c r="M40" s="7"/>
      <c r="N40" s="7"/>
    </row>
    <row r="41" spans="1:14">
      <c r="A41" s="5"/>
      <c r="B41" s="7"/>
      <c r="C41" s="19"/>
      <c r="D41" s="19"/>
      <c r="E41" s="19"/>
      <c r="F41" s="7"/>
      <c r="G41" s="7"/>
      <c r="H41" s="19"/>
      <c r="I41" s="19"/>
      <c r="J41" s="19"/>
      <c r="K41" s="7"/>
      <c r="L41" s="7"/>
      <c r="M41" s="7"/>
      <c r="N41" s="7"/>
    </row>
    <row r="42" spans="1:14">
      <c r="A42" s="5"/>
      <c r="B42" s="7"/>
      <c r="C42" s="19"/>
      <c r="D42" s="19"/>
      <c r="E42" s="19"/>
      <c r="F42" s="7"/>
      <c r="G42" s="7"/>
      <c r="H42" s="19"/>
      <c r="I42" s="19"/>
      <c r="J42" s="19"/>
      <c r="K42" s="7"/>
      <c r="L42" s="7"/>
      <c r="M42" s="7"/>
      <c r="N42" s="7"/>
    </row>
    <row r="43" spans="1:14">
      <c r="A43" s="5"/>
      <c r="B43" s="7"/>
      <c r="C43" s="19"/>
      <c r="D43" s="19"/>
      <c r="E43" s="19"/>
      <c r="F43" s="7"/>
      <c r="G43" s="7"/>
      <c r="H43" s="19"/>
      <c r="I43" s="19"/>
      <c r="J43" s="19"/>
      <c r="K43" s="7"/>
      <c r="L43" s="7"/>
      <c r="M43" s="7"/>
      <c r="N43" s="7"/>
    </row>
    <row r="44" spans="1:14">
      <c r="A44" s="5"/>
      <c r="B44" s="7"/>
      <c r="C44" s="19"/>
      <c r="D44" s="19"/>
      <c r="E44" s="19"/>
      <c r="F44" s="7"/>
      <c r="G44" s="7"/>
      <c r="H44" s="19"/>
      <c r="I44" s="19"/>
      <c r="J44" s="19"/>
      <c r="K44" s="7"/>
      <c r="L44" s="7"/>
      <c r="M44" s="7"/>
      <c r="N44" s="7"/>
    </row>
    <row r="45" spans="1:14">
      <c r="A45" s="5"/>
      <c r="B45" s="7"/>
      <c r="C45" s="19"/>
      <c r="D45" s="19"/>
      <c r="E45" s="19"/>
      <c r="F45" s="7"/>
      <c r="G45" s="7"/>
      <c r="H45" s="19"/>
      <c r="I45" s="19"/>
      <c r="J45" s="19"/>
      <c r="K45" s="7"/>
      <c r="L45" s="7"/>
      <c r="M45" s="7"/>
      <c r="N45" s="7"/>
    </row>
    <row r="46" spans="1:14">
      <c r="A46" s="5"/>
      <c r="B46" s="7"/>
      <c r="C46" s="19"/>
      <c r="D46" s="19"/>
      <c r="E46" s="19"/>
      <c r="F46" s="7"/>
      <c r="G46" s="7"/>
      <c r="H46" s="19"/>
      <c r="I46" s="19"/>
      <c r="J46" s="19"/>
      <c r="K46" s="7"/>
      <c r="L46" s="7"/>
      <c r="M46" s="7"/>
      <c r="N46" s="7"/>
    </row>
    <row r="47" spans="1:14">
      <c r="A47" s="5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14">
      <c r="A48" s="5"/>
      <c r="B48" s="7"/>
      <c r="C48" s="94" t="s">
        <v>469</v>
      </c>
      <c r="D48" s="87"/>
      <c r="E48" s="87"/>
      <c r="F48" s="87"/>
      <c r="G48" s="87"/>
      <c r="H48" s="87"/>
      <c r="I48" s="87"/>
      <c r="J48" s="87"/>
      <c r="K48" s="87"/>
      <c r="L48" s="7"/>
      <c r="M48" s="7"/>
      <c r="N48" s="7"/>
    </row>
    <row r="49" spans="1:14">
      <c r="A49" s="5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>
      <c r="A50" s="5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>
      <c r="A51" s="5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>
      <c r="A52" s="5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>
      <c r="A53" s="5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>
      <c r="A54" s="5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>
      <c r="A55" s="5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>
      <c r="A56" s="5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>
      <c r="A57" s="5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>
      <c r="A58" s="5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</sheetData>
  <mergeCells count="17">
    <mergeCell ref="C48:K48"/>
    <mergeCell ref="E8:F9"/>
    <mergeCell ref="I8:J9"/>
    <mergeCell ref="G8:H9"/>
    <mergeCell ref="H37:K37"/>
    <mergeCell ref="C19:K19"/>
    <mergeCell ref="C5:H5"/>
    <mergeCell ref="I7:J7"/>
    <mergeCell ref="G11:K11"/>
    <mergeCell ref="C37:G37"/>
    <mergeCell ref="C8:D9"/>
    <mergeCell ref="C2:K2"/>
    <mergeCell ref="C1:K1"/>
    <mergeCell ref="C11:E11"/>
    <mergeCell ref="C7:D7"/>
    <mergeCell ref="G7:H7"/>
    <mergeCell ref="E7:F7"/>
  </mergeCells>
  <pageMargins left="0.75" right="0.75" top="1" bottom="1" header="0.5" footer="0.5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3">
    <tabColor rgb="FFD4AF37"/>
  </sheetPr>
  <dimension ref="A1:M48"/>
  <sheetViews>
    <sheetView showGridLines="0" workbookViewId="0"/>
  </sheetViews>
  <sheetFormatPr defaultRowHeight="14.4"/>
  <cols>
    <col min="1" max="1" width="24" customWidth="1"/>
    <col min="2" max="2" width="2" customWidth="1"/>
    <col min="3" max="9" width="14" customWidth="1"/>
    <col min="10" max="11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470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16.05" customHeight="1">
      <c r="A7" s="17"/>
      <c r="B7" s="7"/>
      <c r="C7" s="130" t="s">
        <v>471</v>
      </c>
      <c r="D7" s="128"/>
      <c r="E7" s="130" t="s">
        <v>393</v>
      </c>
      <c r="F7" s="128"/>
      <c r="G7" s="130" t="s">
        <v>450</v>
      </c>
      <c r="H7" s="128"/>
      <c r="I7" s="130" t="s">
        <v>387</v>
      </c>
      <c r="J7" s="128"/>
      <c r="K7" s="7"/>
      <c r="L7" s="7"/>
      <c r="M7" s="7"/>
    </row>
    <row r="8" spans="1:13" ht="19.95" customHeight="1">
      <c r="A8" s="17"/>
      <c r="B8" s="7"/>
      <c r="C8" s="131">
        <v>0</v>
      </c>
      <c r="D8" s="128"/>
      <c r="E8" s="131" t="s">
        <v>452</v>
      </c>
      <c r="F8" s="128"/>
      <c r="G8" s="131">
        <v>0</v>
      </c>
      <c r="H8" s="128"/>
      <c r="I8" s="131">
        <v>0</v>
      </c>
      <c r="J8" s="128"/>
      <c r="K8" s="7"/>
      <c r="L8" s="7"/>
      <c r="M8" s="7"/>
    </row>
    <row r="9" spans="1:13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</row>
    <row r="10" spans="1:13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34.049999999999997" customHeight="1">
      <c r="A11" s="17"/>
      <c r="B11" s="7"/>
      <c r="C11" s="97" t="s">
        <v>472</v>
      </c>
      <c r="D11" s="87"/>
      <c r="E11" s="87"/>
      <c r="F11" s="7"/>
      <c r="G11" s="97" t="s">
        <v>473</v>
      </c>
      <c r="H11" s="87"/>
      <c r="I11" s="87"/>
      <c r="J11" s="87"/>
      <c r="K11" s="87"/>
      <c r="L11" s="7"/>
      <c r="M11" s="7"/>
    </row>
    <row r="12" spans="1:13" ht="34.049999999999997" customHeight="1">
      <c r="A12" s="17"/>
      <c r="B12" s="7"/>
      <c r="C12" s="19" t="s">
        <v>474</v>
      </c>
      <c r="D12" s="21">
        <v>0</v>
      </c>
      <c r="E12" s="7"/>
      <c r="F12" s="7"/>
      <c r="G12" s="18" t="s">
        <v>463</v>
      </c>
      <c r="H12" s="18" t="s">
        <v>16</v>
      </c>
      <c r="I12" s="18" t="s">
        <v>55</v>
      </c>
      <c r="J12" s="7"/>
      <c r="K12" s="7"/>
      <c r="L12" s="7"/>
      <c r="M12" s="7"/>
    </row>
    <row r="13" spans="1:13" ht="34.049999999999997" customHeight="1">
      <c r="A13" s="15"/>
      <c r="B13" s="7"/>
      <c r="C13" s="19" t="s">
        <v>475</v>
      </c>
      <c r="D13" s="21"/>
      <c r="E13" s="7"/>
      <c r="F13" s="7"/>
      <c r="G13" s="19"/>
      <c r="H13" s="19"/>
      <c r="I13" s="19"/>
      <c r="J13" s="7"/>
      <c r="K13" s="7"/>
      <c r="L13" s="7"/>
      <c r="M13" s="7"/>
    </row>
    <row r="14" spans="1:13" ht="34.049999999999997" customHeight="1">
      <c r="A14" s="17"/>
      <c r="B14" s="7"/>
      <c r="C14" s="19" t="s">
        <v>476</v>
      </c>
      <c r="D14" s="21">
        <v>0</v>
      </c>
      <c r="E14" s="7"/>
      <c r="F14" s="7"/>
      <c r="G14" s="19"/>
      <c r="H14" s="19"/>
      <c r="I14" s="19"/>
      <c r="J14" s="7"/>
      <c r="K14" s="7"/>
      <c r="L14" s="7"/>
      <c r="M14" s="7"/>
    </row>
    <row r="15" spans="1:13" ht="34.049999999999997" customHeight="1">
      <c r="A15" s="17"/>
      <c r="B15" s="7"/>
      <c r="C15" s="19" t="s">
        <v>477</v>
      </c>
      <c r="D15" s="21">
        <v>0</v>
      </c>
      <c r="E15" s="7"/>
      <c r="F15" s="7"/>
      <c r="G15" s="19"/>
      <c r="H15" s="19"/>
      <c r="I15" s="19"/>
      <c r="J15" s="7"/>
      <c r="K15" s="7"/>
      <c r="L15" s="7"/>
      <c r="M15" s="7"/>
    </row>
    <row r="16" spans="1:13" ht="34.049999999999997" customHeight="1">
      <c r="A16" s="17"/>
      <c r="B16" s="7"/>
      <c r="C16" s="7"/>
      <c r="D16" s="7"/>
      <c r="E16" s="7"/>
      <c r="F16" s="7"/>
      <c r="G16" s="19"/>
      <c r="H16" s="19"/>
      <c r="I16" s="19"/>
      <c r="J16" s="7"/>
      <c r="K16" s="7"/>
      <c r="L16" s="7"/>
      <c r="M16" s="7"/>
    </row>
    <row r="17" spans="1:13" ht="34.049999999999997" customHeight="1">
      <c r="A17" s="17"/>
      <c r="B17" s="7"/>
      <c r="C17" s="7"/>
      <c r="D17" s="7"/>
      <c r="E17" s="7"/>
      <c r="F17" s="7"/>
      <c r="G17" s="19"/>
      <c r="H17" s="19"/>
      <c r="I17" s="19"/>
      <c r="J17" s="7"/>
      <c r="K17" s="7"/>
      <c r="L17" s="7"/>
      <c r="M17" s="7"/>
    </row>
    <row r="18" spans="1:13" ht="34.049999999999997" customHeight="1">
      <c r="A18" s="17"/>
      <c r="B18" s="7"/>
      <c r="C18" s="97" t="s">
        <v>478</v>
      </c>
      <c r="D18" s="87"/>
      <c r="E18" s="87"/>
      <c r="F18" s="7"/>
      <c r="G18" s="19"/>
      <c r="H18" s="19"/>
      <c r="I18" s="19"/>
      <c r="J18" s="7"/>
      <c r="K18" s="7"/>
      <c r="L18" s="7"/>
      <c r="M18" s="7"/>
    </row>
    <row r="19" spans="1:13" ht="34.049999999999997" customHeight="1">
      <c r="A19" s="17"/>
      <c r="B19" s="7"/>
      <c r="C19" s="18" t="s">
        <v>479</v>
      </c>
      <c r="D19" s="18" t="s">
        <v>460</v>
      </c>
      <c r="E19" s="18" t="s">
        <v>55</v>
      </c>
      <c r="F19" s="7"/>
      <c r="G19" s="19"/>
      <c r="H19" s="19"/>
      <c r="I19" s="19"/>
      <c r="J19" s="7"/>
      <c r="K19" s="7"/>
      <c r="L19" s="7"/>
      <c r="M19" s="7"/>
    </row>
    <row r="20" spans="1:13" ht="34.049999999999997" customHeight="1">
      <c r="A20" s="17"/>
      <c r="B20" s="7"/>
      <c r="C20" s="19"/>
      <c r="D20" s="19"/>
      <c r="E20" s="19"/>
      <c r="F20" s="7"/>
      <c r="G20" s="19"/>
      <c r="H20" s="19"/>
      <c r="I20" s="19"/>
      <c r="J20" s="7"/>
      <c r="K20" s="7"/>
      <c r="L20" s="7"/>
      <c r="M20" s="7"/>
    </row>
    <row r="21" spans="1:13" ht="34.049999999999997" customHeight="1">
      <c r="A21" s="17"/>
      <c r="B21" s="7"/>
      <c r="C21" s="19"/>
      <c r="D21" s="19"/>
      <c r="E21" s="19"/>
      <c r="F21" s="7"/>
      <c r="G21" s="7"/>
      <c r="H21" s="7"/>
      <c r="I21" s="7"/>
      <c r="J21" s="7"/>
      <c r="K21" s="7"/>
      <c r="L21" s="7"/>
      <c r="M21" s="7"/>
    </row>
    <row r="22" spans="1:13" ht="34.049999999999997" customHeight="1">
      <c r="A22" s="17"/>
      <c r="B22" s="7"/>
      <c r="C22" s="19"/>
      <c r="D22" s="19"/>
      <c r="E22" s="19"/>
      <c r="F22" s="7"/>
      <c r="G22" s="7"/>
      <c r="H22" s="7"/>
      <c r="I22" s="7"/>
      <c r="J22" s="7"/>
      <c r="K22" s="7"/>
      <c r="L22" s="7"/>
      <c r="M22" s="7"/>
    </row>
    <row r="23" spans="1:13" ht="34.049999999999997" customHeight="1">
      <c r="A23" s="17"/>
      <c r="B23" s="7"/>
      <c r="C23" s="19"/>
      <c r="D23" s="19"/>
      <c r="E23" s="19"/>
      <c r="F23" s="7"/>
      <c r="G23" s="7"/>
      <c r="H23" s="7"/>
      <c r="I23" s="7"/>
      <c r="J23" s="7"/>
      <c r="K23" s="7"/>
      <c r="L23" s="7"/>
      <c r="M23" s="7"/>
    </row>
    <row r="24" spans="1:13">
      <c r="A24" s="5"/>
      <c r="B24" s="7"/>
      <c r="C24" s="19"/>
      <c r="D24" s="19"/>
      <c r="E24" s="19"/>
      <c r="F24" s="7"/>
      <c r="G24" s="7"/>
      <c r="H24" s="7"/>
      <c r="I24" s="7"/>
      <c r="J24" s="7"/>
      <c r="K24" s="7"/>
      <c r="L24" s="7"/>
      <c r="M24" s="7"/>
    </row>
    <row r="25" spans="1:13">
      <c r="A25" s="5"/>
      <c r="B25" s="7"/>
      <c r="C25" s="19"/>
      <c r="D25" s="19"/>
      <c r="E25" s="19"/>
      <c r="F25" s="7"/>
      <c r="G25" s="7"/>
      <c r="H25" s="7"/>
      <c r="I25" s="7"/>
      <c r="J25" s="7"/>
      <c r="K25" s="7"/>
      <c r="L25" s="7"/>
      <c r="M25" s="7"/>
    </row>
    <row r="26" spans="1:13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13">
      <c r="A27" s="5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13" ht="18">
      <c r="A28" s="5"/>
      <c r="B28" s="7"/>
      <c r="C28" s="97" t="s">
        <v>480</v>
      </c>
      <c r="D28" s="87"/>
      <c r="E28" s="87"/>
      <c r="F28" s="87"/>
      <c r="G28" s="87"/>
      <c r="H28" s="97" t="s">
        <v>481</v>
      </c>
      <c r="I28" s="87"/>
      <c r="J28" s="87"/>
      <c r="K28" s="87"/>
      <c r="L28" s="7"/>
      <c r="M28" s="7"/>
    </row>
    <row r="29" spans="1:13">
      <c r="A29" s="5"/>
      <c r="B29" s="7"/>
      <c r="C29" s="18" t="s">
        <v>98</v>
      </c>
      <c r="D29" s="18" t="s">
        <v>482</v>
      </c>
      <c r="E29" s="18" t="s">
        <v>483</v>
      </c>
      <c r="F29" s="18" t="s">
        <v>106</v>
      </c>
      <c r="G29" s="7"/>
      <c r="H29" s="7"/>
      <c r="I29" s="7"/>
      <c r="J29" s="7"/>
      <c r="K29" s="7"/>
      <c r="L29" s="7"/>
      <c r="M29" s="7"/>
    </row>
    <row r="30" spans="1:13" ht="15.6">
      <c r="A30" s="5"/>
      <c r="B30" s="7"/>
      <c r="C30" s="19"/>
      <c r="D30" s="19"/>
      <c r="E30" s="19"/>
      <c r="F30" s="19"/>
      <c r="G30" s="7"/>
      <c r="H30" s="19" t="s">
        <v>457</v>
      </c>
      <c r="I30" s="21">
        <v>0</v>
      </c>
      <c r="J30" s="7"/>
      <c r="K30" s="7"/>
      <c r="L30" s="7"/>
      <c r="M30" s="7"/>
    </row>
    <row r="31" spans="1:13" ht="15.6">
      <c r="A31" s="5"/>
      <c r="B31" s="7"/>
      <c r="C31" s="19"/>
      <c r="D31" s="19"/>
      <c r="E31" s="19"/>
      <c r="F31" s="19"/>
      <c r="G31" s="7"/>
      <c r="H31" s="19" t="s">
        <v>458</v>
      </c>
      <c r="I31" s="21">
        <v>0</v>
      </c>
      <c r="J31" s="7"/>
      <c r="K31" s="7"/>
      <c r="L31" s="7"/>
      <c r="M31" s="7"/>
    </row>
    <row r="32" spans="1:13" ht="15.6">
      <c r="A32" s="5"/>
      <c r="B32" s="7"/>
      <c r="C32" s="19"/>
      <c r="D32" s="19"/>
      <c r="E32" s="19"/>
      <c r="F32" s="19"/>
      <c r="G32" s="7"/>
      <c r="H32" s="19" t="s">
        <v>459</v>
      </c>
      <c r="I32" s="21">
        <v>0</v>
      </c>
      <c r="J32" s="7"/>
      <c r="K32" s="7"/>
      <c r="L32" s="7"/>
      <c r="M32" s="7"/>
    </row>
    <row r="33" spans="1:13" ht="15.6">
      <c r="A33" s="5"/>
      <c r="B33" s="7"/>
      <c r="C33" s="19"/>
      <c r="D33" s="19"/>
      <c r="E33" s="19"/>
      <c r="F33" s="19"/>
      <c r="G33" s="7"/>
      <c r="H33" s="19" t="s">
        <v>460</v>
      </c>
      <c r="I33" s="21">
        <v>0</v>
      </c>
      <c r="J33" s="7"/>
      <c r="K33" s="7"/>
      <c r="L33" s="7"/>
      <c r="M33" s="7"/>
    </row>
    <row r="34" spans="1:13" ht="15.6">
      <c r="A34" s="5"/>
      <c r="B34" s="7"/>
      <c r="C34" s="19"/>
      <c r="D34" s="19"/>
      <c r="E34" s="19"/>
      <c r="F34" s="19"/>
      <c r="G34" s="7"/>
      <c r="H34" s="19" t="s">
        <v>461</v>
      </c>
      <c r="I34" s="21">
        <v>0</v>
      </c>
      <c r="J34" s="7"/>
      <c r="K34" s="7"/>
      <c r="L34" s="7"/>
      <c r="M34" s="7"/>
    </row>
    <row r="35" spans="1:13">
      <c r="A35" s="5"/>
      <c r="B35" s="7"/>
      <c r="C35" s="19"/>
      <c r="D35" s="19"/>
      <c r="E35" s="19"/>
      <c r="F35" s="19"/>
      <c r="G35" s="7"/>
      <c r="H35" s="7"/>
      <c r="I35" s="7"/>
      <c r="J35" s="7"/>
      <c r="K35" s="7"/>
      <c r="L35" s="7"/>
      <c r="M35" s="7"/>
    </row>
    <row r="36" spans="1:13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1:13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1" spans="1:13">
      <c r="A41" s="5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</row>
    <row r="42" spans="1:13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  <row r="43" spans="1:13">
      <c r="A43" s="5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spans="1:13">
      <c r="A44" s="5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</row>
    <row r="45" spans="1:13">
      <c r="A45" s="5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</row>
    <row r="46" spans="1:13">
      <c r="A46" s="5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</row>
    <row r="47" spans="1:13">
      <c r="A47" s="5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</row>
    <row r="48" spans="1:13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</row>
  </sheetData>
  <mergeCells count="16">
    <mergeCell ref="C1:J1"/>
    <mergeCell ref="C5:H5"/>
    <mergeCell ref="I7:J7"/>
    <mergeCell ref="C2:J2"/>
    <mergeCell ref="C18:E18"/>
    <mergeCell ref="G11:K11"/>
    <mergeCell ref="E8:F9"/>
    <mergeCell ref="I8:J9"/>
    <mergeCell ref="G8:H9"/>
    <mergeCell ref="C8:D9"/>
    <mergeCell ref="H28:K28"/>
    <mergeCell ref="C11:E11"/>
    <mergeCell ref="C7:D7"/>
    <mergeCell ref="G7:H7"/>
    <mergeCell ref="E7:F7"/>
    <mergeCell ref="C28:G28"/>
  </mergeCells>
  <pageMargins left="0.75" right="0.75" top="1" bottom="1" header="0.5" footer="0.5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4">
    <tabColor rgb="FFD4AF37"/>
  </sheetPr>
  <dimension ref="A1:N58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12" customWidth="1"/>
    <col min="4" max="4" width="14" customWidth="1"/>
    <col min="5" max="9" width="12" customWidth="1"/>
    <col min="10" max="10" width="14" customWidth="1"/>
    <col min="11" max="12" width="12" customWidth="1"/>
  </cols>
  <sheetData>
    <row r="1" spans="1:14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87"/>
      <c r="L1" s="1"/>
      <c r="M1" s="6" t="s">
        <v>7</v>
      </c>
      <c r="N1" s="7"/>
    </row>
    <row r="2" spans="1:14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87"/>
      <c r="L2" s="9"/>
      <c r="M2" s="10" t="str">
        <f ca="1">TEXT(DAY(NOW()),"00")&amp;"/"&amp;TEXT(MONTH(NOW()),"00")&amp;"/"&amp;YEAR(NOW())&amp;" "&amp;TEXT(HOUR(NOW()),"00")&amp;":"&amp;TEXT(MINUTE(NOW()),"00")</f>
        <v>22/07/2026 14:42</v>
      </c>
      <c r="N2" s="7"/>
    </row>
    <row r="3" spans="1:14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7"/>
    </row>
    <row r="4" spans="1:14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ht="22.8">
      <c r="A5" s="5"/>
      <c r="B5" s="7"/>
      <c r="C5" s="98" t="s">
        <v>484</v>
      </c>
      <c r="D5" s="87"/>
      <c r="E5" s="87"/>
      <c r="F5" s="87"/>
      <c r="G5" s="87"/>
      <c r="H5" s="87"/>
      <c r="I5" s="7"/>
      <c r="J5" s="7"/>
      <c r="K5" s="7"/>
      <c r="L5" s="7"/>
      <c r="M5" s="7"/>
      <c r="N5" s="7"/>
    </row>
    <row r="6" spans="1:14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4" ht="16.05" customHeight="1">
      <c r="A7" s="17"/>
      <c r="B7" s="7"/>
      <c r="C7" s="130" t="s">
        <v>485</v>
      </c>
      <c r="D7" s="128"/>
      <c r="E7" s="130" t="s">
        <v>486</v>
      </c>
      <c r="F7" s="128"/>
      <c r="G7" s="130" t="s">
        <v>487</v>
      </c>
      <c r="H7" s="128"/>
      <c r="I7" s="130" t="s">
        <v>488</v>
      </c>
      <c r="J7" s="128"/>
      <c r="K7" s="7"/>
      <c r="L7" s="7"/>
      <c r="M7" s="7"/>
      <c r="N7" s="7"/>
    </row>
    <row r="8" spans="1:14" ht="19.95" customHeight="1">
      <c r="A8" s="17"/>
      <c r="B8" s="7"/>
      <c r="C8" s="131">
        <v>0</v>
      </c>
      <c r="D8" s="128"/>
      <c r="E8" s="131">
        <v>0</v>
      </c>
      <c r="F8" s="128"/>
      <c r="G8" s="131">
        <v>0</v>
      </c>
      <c r="H8" s="128"/>
      <c r="I8" s="131" t="s">
        <v>489</v>
      </c>
      <c r="J8" s="128"/>
      <c r="K8" s="7"/>
      <c r="L8" s="7"/>
      <c r="M8" s="7"/>
      <c r="N8" s="7"/>
    </row>
    <row r="9" spans="1:14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  <c r="N9" s="7"/>
    </row>
    <row r="10" spans="1:14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4" ht="34.049999999999997" customHeight="1">
      <c r="A11" s="17"/>
      <c r="B11" s="7"/>
      <c r="C11" s="97" t="s">
        <v>490</v>
      </c>
      <c r="D11" s="87"/>
      <c r="E11" s="87"/>
      <c r="F11" s="87"/>
      <c r="G11" s="97" t="s">
        <v>491</v>
      </c>
      <c r="H11" s="87"/>
      <c r="I11" s="87"/>
      <c r="J11" s="87"/>
      <c r="K11" s="87"/>
      <c r="L11" s="7"/>
      <c r="M11" s="7"/>
      <c r="N11" s="7"/>
    </row>
    <row r="12" spans="1:14" ht="34.049999999999997" customHeight="1">
      <c r="A12" s="17"/>
      <c r="B12" s="7"/>
      <c r="C12" s="66" t="s">
        <v>492</v>
      </c>
      <c r="D12" s="19"/>
      <c r="E12" s="7"/>
      <c r="F12" s="7"/>
      <c r="G12" s="19" t="s">
        <v>493</v>
      </c>
      <c r="H12" s="19"/>
      <c r="I12" s="7"/>
      <c r="J12" s="7"/>
      <c r="K12" s="7"/>
      <c r="L12" s="7"/>
      <c r="M12" s="7"/>
      <c r="N12" s="7"/>
    </row>
    <row r="13" spans="1:14" ht="34.049999999999997" customHeight="1">
      <c r="A13" s="17"/>
      <c r="B13" s="7"/>
      <c r="C13" s="66" t="s">
        <v>177</v>
      </c>
      <c r="D13" s="19"/>
      <c r="E13" s="7"/>
      <c r="F13" s="7"/>
      <c r="G13" s="19" t="s">
        <v>494</v>
      </c>
      <c r="H13" s="19"/>
      <c r="I13" s="7"/>
      <c r="J13" s="7"/>
      <c r="K13" s="7"/>
      <c r="L13" s="7"/>
      <c r="M13" s="7"/>
      <c r="N13" s="7"/>
    </row>
    <row r="14" spans="1:14" ht="34.049999999999997" customHeight="1">
      <c r="A14" s="17"/>
      <c r="B14" s="7"/>
      <c r="C14" s="66" t="s">
        <v>76</v>
      </c>
      <c r="D14" s="19"/>
      <c r="E14" s="7"/>
      <c r="F14" s="7"/>
      <c r="G14" s="19" t="s">
        <v>495</v>
      </c>
      <c r="H14" s="19"/>
      <c r="I14" s="7"/>
      <c r="J14" s="7"/>
      <c r="K14" s="7"/>
      <c r="L14" s="7"/>
      <c r="M14" s="7"/>
      <c r="N14" s="7"/>
    </row>
    <row r="15" spans="1:14" ht="34.049999999999997" customHeight="1">
      <c r="A15" s="15"/>
      <c r="B15" s="7"/>
      <c r="C15" s="66" t="s">
        <v>217</v>
      </c>
      <c r="D15" s="19"/>
      <c r="E15" s="7"/>
      <c r="F15" s="7"/>
      <c r="G15" s="19" t="s">
        <v>496</v>
      </c>
      <c r="H15" s="19"/>
      <c r="I15" s="7"/>
      <c r="J15" s="7"/>
      <c r="K15" s="7"/>
      <c r="L15" s="7"/>
      <c r="M15" s="7"/>
      <c r="N15" s="7"/>
    </row>
    <row r="16" spans="1:14" ht="34.049999999999997" customHeight="1">
      <c r="A16" s="17"/>
      <c r="B16" s="7"/>
      <c r="C16" s="66" t="s">
        <v>331</v>
      </c>
      <c r="D16" s="19"/>
      <c r="E16" s="7"/>
      <c r="F16" s="7"/>
      <c r="G16" s="19" t="s">
        <v>497</v>
      </c>
      <c r="H16" s="19"/>
      <c r="I16" s="7"/>
      <c r="J16" s="7"/>
      <c r="K16" s="7"/>
      <c r="L16" s="7"/>
      <c r="M16" s="7"/>
      <c r="N16" s="7"/>
    </row>
    <row r="17" spans="1:14" ht="34.049999999999997" customHeight="1">
      <c r="A17" s="17"/>
      <c r="B17" s="7"/>
      <c r="C17" s="66" t="s">
        <v>332</v>
      </c>
      <c r="D17" s="19"/>
      <c r="E17" s="7"/>
      <c r="F17" s="7"/>
      <c r="G17" s="19" t="s">
        <v>498</v>
      </c>
      <c r="H17" s="19"/>
      <c r="I17" s="7"/>
      <c r="J17" s="7"/>
      <c r="K17" s="7"/>
      <c r="L17" s="7"/>
      <c r="M17" s="7"/>
      <c r="N17" s="7"/>
    </row>
    <row r="18" spans="1:14" ht="34.049999999999997" customHeight="1">
      <c r="A18" s="17"/>
      <c r="B18" s="7"/>
      <c r="C18" s="66" t="s">
        <v>333</v>
      </c>
      <c r="D18" s="19"/>
      <c r="E18" s="7"/>
      <c r="F18" s="7"/>
      <c r="G18" s="19" t="s">
        <v>499</v>
      </c>
      <c r="H18" s="19"/>
      <c r="I18" s="7"/>
      <c r="J18" s="7"/>
      <c r="K18" s="7"/>
      <c r="L18" s="7"/>
      <c r="M18" s="7"/>
      <c r="N18" s="7"/>
    </row>
    <row r="19" spans="1:14" ht="34.049999999999997" customHeight="1">
      <c r="A19" s="17"/>
      <c r="B19" s="7"/>
      <c r="C19" s="66" t="s">
        <v>334</v>
      </c>
      <c r="D19" s="19"/>
      <c r="E19" s="7"/>
      <c r="F19" s="7"/>
      <c r="G19" s="19" t="s">
        <v>500</v>
      </c>
      <c r="H19" s="19"/>
      <c r="I19" s="7"/>
      <c r="J19" s="7"/>
      <c r="K19" s="7"/>
      <c r="L19" s="7"/>
      <c r="M19" s="7"/>
      <c r="N19" s="7"/>
    </row>
    <row r="20" spans="1:14" ht="34.049999999999997" customHeight="1">
      <c r="A20" s="17"/>
      <c r="B20" s="7"/>
      <c r="C20" s="66" t="s">
        <v>335</v>
      </c>
      <c r="D20" s="19"/>
      <c r="E20" s="7"/>
      <c r="F20" s="7"/>
      <c r="G20" s="19" t="s">
        <v>501</v>
      </c>
      <c r="H20" s="19"/>
      <c r="I20" s="7"/>
      <c r="J20" s="7"/>
      <c r="K20" s="7"/>
      <c r="L20" s="7"/>
      <c r="M20" s="7"/>
      <c r="N20" s="7"/>
    </row>
    <row r="21" spans="1:14" ht="34.049999999999997" customHeight="1">
      <c r="A21" s="17"/>
      <c r="B21" s="7"/>
      <c r="C21" s="66" t="s">
        <v>502</v>
      </c>
      <c r="D21" s="19"/>
      <c r="E21" s="7"/>
      <c r="F21" s="7"/>
      <c r="G21" s="19" t="s">
        <v>503</v>
      </c>
      <c r="H21" s="19"/>
      <c r="I21" s="7"/>
      <c r="J21" s="7"/>
      <c r="K21" s="7"/>
      <c r="L21" s="7"/>
      <c r="M21" s="7"/>
      <c r="N21" s="7"/>
    </row>
    <row r="22" spans="1:14" ht="34.049999999999997" customHeight="1">
      <c r="A22" s="17"/>
      <c r="B22" s="7"/>
      <c r="C22" s="66" t="s">
        <v>504</v>
      </c>
      <c r="D22" s="19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ht="34.049999999999997" customHeight="1">
      <c r="A23" s="17"/>
      <c r="B23" s="7"/>
      <c r="C23" s="66" t="s">
        <v>505</v>
      </c>
      <c r="D23" s="19"/>
      <c r="E23" s="7"/>
      <c r="F23" s="7"/>
      <c r="G23" s="7"/>
      <c r="H23" s="7"/>
      <c r="I23" s="7"/>
      <c r="J23" s="7"/>
      <c r="K23" s="7"/>
      <c r="L23" s="7"/>
      <c r="M23" s="7"/>
      <c r="N23" s="7"/>
    </row>
    <row r="24" spans="1:14">
      <c r="A24" s="5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</row>
    <row r="25" spans="1:14" ht="18">
      <c r="A25" s="5"/>
      <c r="B25" s="7"/>
      <c r="C25" s="97" t="s">
        <v>506</v>
      </c>
      <c r="D25" s="87"/>
      <c r="E25" s="87"/>
      <c r="F25" s="87"/>
      <c r="G25" s="87"/>
      <c r="H25" s="87"/>
      <c r="I25" s="87"/>
      <c r="J25" s="87"/>
      <c r="K25" s="87"/>
      <c r="L25" s="7"/>
      <c r="M25" s="7"/>
      <c r="N25" s="7"/>
    </row>
    <row r="26" spans="1:14">
      <c r="A26" s="5"/>
      <c r="B26" s="7"/>
      <c r="C26" s="18" t="s">
        <v>70</v>
      </c>
      <c r="D26" s="18" t="s">
        <v>217</v>
      </c>
      <c r="E26" s="18" t="s">
        <v>177</v>
      </c>
      <c r="F26" s="18" t="s">
        <v>15</v>
      </c>
      <c r="G26" s="18" t="s">
        <v>333</v>
      </c>
      <c r="H26" s="18" t="s">
        <v>507</v>
      </c>
      <c r="I26" s="18" t="s">
        <v>76</v>
      </c>
      <c r="J26" s="18" t="s">
        <v>504</v>
      </c>
      <c r="K26" s="7"/>
      <c r="L26" s="7"/>
      <c r="M26" s="7"/>
      <c r="N26" s="7"/>
    </row>
    <row r="27" spans="1:14">
      <c r="A27" s="5"/>
      <c r="B27" s="7"/>
      <c r="C27" s="19"/>
      <c r="D27" s="19"/>
      <c r="E27" s="19"/>
      <c r="F27" s="19"/>
      <c r="G27" s="19"/>
      <c r="H27" s="19"/>
      <c r="I27" s="19"/>
      <c r="J27" s="19"/>
      <c r="K27" s="7"/>
      <c r="L27" s="7"/>
      <c r="M27" s="7"/>
      <c r="N27" s="7"/>
    </row>
    <row r="28" spans="1:14">
      <c r="A28" s="5"/>
      <c r="B28" s="7"/>
      <c r="C28" s="19"/>
      <c r="D28" s="19"/>
      <c r="E28" s="19"/>
      <c r="F28" s="19"/>
      <c r="G28" s="19"/>
      <c r="H28" s="19"/>
      <c r="I28" s="19"/>
      <c r="J28" s="19"/>
      <c r="K28" s="7"/>
      <c r="L28" s="7"/>
      <c r="M28" s="7"/>
      <c r="N28" s="7"/>
    </row>
    <row r="29" spans="1:14">
      <c r="A29" s="5"/>
      <c r="B29" s="7"/>
      <c r="C29" s="19"/>
      <c r="D29" s="19"/>
      <c r="E29" s="19"/>
      <c r="F29" s="19"/>
      <c r="G29" s="19"/>
      <c r="H29" s="19"/>
      <c r="I29" s="19"/>
      <c r="J29" s="19"/>
      <c r="K29" s="7"/>
      <c r="L29" s="7"/>
      <c r="M29" s="7"/>
      <c r="N29" s="7"/>
    </row>
    <row r="30" spans="1:14">
      <c r="A30" s="5"/>
      <c r="B30" s="7"/>
      <c r="C30" s="19"/>
      <c r="D30" s="19"/>
      <c r="E30" s="19"/>
      <c r="F30" s="19"/>
      <c r="G30" s="19"/>
      <c r="H30" s="19"/>
      <c r="I30" s="19"/>
      <c r="J30" s="19"/>
      <c r="K30" s="7"/>
      <c r="L30" s="7"/>
      <c r="M30" s="7"/>
      <c r="N30" s="7"/>
    </row>
    <row r="31" spans="1:14">
      <c r="A31" s="5"/>
      <c r="B31" s="7"/>
      <c r="C31" s="19"/>
      <c r="D31" s="19"/>
      <c r="E31" s="19"/>
      <c r="F31" s="19"/>
      <c r="G31" s="19"/>
      <c r="H31" s="19"/>
      <c r="I31" s="19"/>
      <c r="J31" s="19"/>
      <c r="K31" s="7"/>
      <c r="L31" s="7"/>
      <c r="M31" s="7"/>
      <c r="N31" s="7"/>
    </row>
    <row r="32" spans="1:14">
      <c r="A32" s="5"/>
      <c r="B32" s="7"/>
      <c r="C32" s="19"/>
      <c r="D32" s="19"/>
      <c r="E32" s="19"/>
      <c r="F32" s="19"/>
      <c r="G32" s="19"/>
      <c r="H32" s="19"/>
      <c r="I32" s="19"/>
      <c r="J32" s="19"/>
      <c r="K32" s="7"/>
      <c r="L32" s="7"/>
      <c r="M32" s="7"/>
      <c r="N32" s="7"/>
    </row>
    <row r="33" spans="1:14">
      <c r="A33" s="5"/>
      <c r="B33" s="7"/>
      <c r="C33" s="19"/>
      <c r="D33" s="19"/>
      <c r="E33" s="19"/>
      <c r="F33" s="19"/>
      <c r="G33" s="19"/>
      <c r="H33" s="19"/>
      <c r="I33" s="19"/>
      <c r="J33" s="19"/>
      <c r="K33" s="7"/>
      <c r="L33" s="7"/>
      <c r="M33" s="7"/>
      <c r="N33" s="7"/>
    </row>
    <row r="34" spans="1:14">
      <c r="A34" s="5"/>
      <c r="B34" s="7"/>
      <c r="C34" s="19"/>
      <c r="D34" s="19"/>
      <c r="E34" s="19"/>
      <c r="F34" s="19"/>
      <c r="G34" s="19"/>
      <c r="H34" s="19"/>
      <c r="I34" s="19"/>
      <c r="J34" s="19"/>
      <c r="K34" s="7"/>
      <c r="L34" s="7"/>
      <c r="M34" s="7"/>
      <c r="N34" s="7"/>
    </row>
    <row r="35" spans="1:14">
      <c r="A35" s="5"/>
      <c r="B35" s="7"/>
      <c r="C35" s="19"/>
      <c r="D35" s="19"/>
      <c r="E35" s="19"/>
      <c r="F35" s="19"/>
      <c r="G35" s="19"/>
      <c r="H35" s="19"/>
      <c r="I35" s="19"/>
      <c r="J35" s="19"/>
      <c r="K35" s="7"/>
      <c r="L35" s="7"/>
      <c r="M35" s="7"/>
      <c r="N35" s="7"/>
    </row>
    <row r="36" spans="1:14">
      <c r="A36" s="5"/>
      <c r="B36" s="7"/>
      <c r="C36" s="19"/>
      <c r="D36" s="19"/>
      <c r="E36" s="19"/>
      <c r="F36" s="19"/>
      <c r="G36" s="19"/>
      <c r="H36" s="19"/>
      <c r="I36" s="19"/>
      <c r="J36" s="19"/>
      <c r="K36" s="7"/>
      <c r="L36" s="7"/>
      <c r="M36" s="7"/>
      <c r="N36" s="7"/>
    </row>
    <row r="37" spans="1:14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</row>
    <row r="38" spans="1:14" ht="18">
      <c r="A38" s="5"/>
      <c r="B38" s="7"/>
      <c r="C38" s="97" t="s">
        <v>508</v>
      </c>
      <c r="D38" s="87"/>
      <c r="E38" s="87"/>
      <c r="F38" s="87"/>
      <c r="G38" s="97" t="s">
        <v>509</v>
      </c>
      <c r="H38" s="87"/>
      <c r="I38" s="87"/>
      <c r="J38" s="87"/>
      <c r="K38" s="87"/>
      <c r="L38" s="7"/>
      <c r="M38" s="7"/>
      <c r="N38" s="7"/>
    </row>
    <row r="39" spans="1:14">
      <c r="A39" s="5"/>
      <c r="B39" s="7"/>
      <c r="C39" s="18" t="s">
        <v>510</v>
      </c>
      <c r="D39" s="18" t="s">
        <v>15</v>
      </c>
      <c r="E39" s="18" t="s">
        <v>55</v>
      </c>
      <c r="F39" s="7"/>
      <c r="G39" s="19" t="s">
        <v>511</v>
      </c>
      <c r="H39" s="19"/>
      <c r="I39" s="19" t="s">
        <v>512</v>
      </c>
      <c r="J39" s="19"/>
      <c r="K39" s="7"/>
      <c r="L39" s="7"/>
      <c r="M39" s="7"/>
      <c r="N39" s="7"/>
    </row>
    <row r="40" spans="1:14">
      <c r="A40" s="5"/>
      <c r="B40" s="7"/>
      <c r="C40" s="19"/>
      <c r="D40" s="19"/>
      <c r="E40" s="19"/>
      <c r="F40" s="7"/>
      <c r="G40" s="18" t="s">
        <v>50</v>
      </c>
      <c r="H40" s="18" t="s">
        <v>513</v>
      </c>
      <c r="I40" s="18" t="s">
        <v>514</v>
      </c>
      <c r="J40" s="18" t="s">
        <v>515</v>
      </c>
      <c r="K40" s="7"/>
      <c r="L40" s="7"/>
      <c r="M40" s="7"/>
      <c r="N40" s="7"/>
    </row>
    <row r="41" spans="1:14">
      <c r="A41" s="5"/>
      <c r="B41" s="7"/>
      <c r="C41" s="19"/>
      <c r="D41" s="19"/>
      <c r="E41" s="19"/>
      <c r="F41" s="7"/>
      <c r="G41" s="19"/>
      <c r="H41" s="19"/>
      <c r="I41" s="19"/>
      <c r="J41" s="19"/>
      <c r="K41" s="7"/>
      <c r="L41" s="7"/>
      <c r="M41" s="7"/>
      <c r="N41" s="7"/>
    </row>
    <row r="42" spans="1:14">
      <c r="A42" s="5"/>
      <c r="B42" s="7"/>
      <c r="C42" s="19"/>
      <c r="D42" s="19"/>
      <c r="E42" s="19"/>
      <c r="F42" s="7"/>
      <c r="G42" s="19"/>
      <c r="H42" s="19"/>
      <c r="I42" s="19"/>
      <c r="J42" s="19"/>
      <c r="K42" s="7"/>
      <c r="L42" s="7"/>
      <c r="M42" s="7"/>
      <c r="N42" s="7"/>
    </row>
    <row r="43" spans="1:14">
      <c r="A43" s="5"/>
      <c r="B43" s="7"/>
      <c r="C43" s="19"/>
      <c r="D43" s="19"/>
      <c r="E43" s="19"/>
      <c r="F43" s="7"/>
      <c r="G43" s="19"/>
      <c r="H43" s="19"/>
      <c r="I43" s="19"/>
      <c r="J43" s="19"/>
      <c r="K43" s="7"/>
      <c r="L43" s="7"/>
      <c r="M43" s="7"/>
      <c r="N43" s="7"/>
    </row>
    <row r="44" spans="1:14">
      <c r="A44" s="5"/>
      <c r="B44" s="7"/>
      <c r="C44" s="19"/>
      <c r="D44" s="19"/>
      <c r="E44" s="19"/>
      <c r="F44" s="7"/>
      <c r="G44" s="19"/>
      <c r="H44" s="19"/>
      <c r="I44" s="19"/>
      <c r="J44" s="19"/>
      <c r="K44" s="7"/>
      <c r="L44" s="7"/>
      <c r="M44" s="7"/>
      <c r="N44" s="7"/>
    </row>
    <row r="45" spans="1:14">
      <c r="A45" s="5"/>
      <c r="B45" s="7"/>
      <c r="C45" s="19"/>
      <c r="D45" s="19"/>
      <c r="E45" s="19"/>
      <c r="F45" s="7"/>
      <c r="G45" s="19"/>
      <c r="H45" s="19"/>
      <c r="I45" s="19"/>
      <c r="J45" s="19"/>
      <c r="K45" s="7"/>
      <c r="L45" s="7"/>
      <c r="M45" s="7"/>
      <c r="N45" s="7"/>
    </row>
    <row r="46" spans="1:14">
      <c r="A46" s="5"/>
      <c r="B46" s="7"/>
      <c r="C46" s="19"/>
      <c r="D46" s="19"/>
      <c r="E46" s="19"/>
      <c r="F46" s="7"/>
      <c r="G46" s="19"/>
      <c r="H46" s="19"/>
      <c r="I46" s="19"/>
      <c r="J46" s="19"/>
      <c r="K46" s="7"/>
      <c r="L46" s="7"/>
      <c r="M46" s="7"/>
      <c r="N46" s="7"/>
    </row>
    <row r="47" spans="1:14">
      <c r="A47" s="5"/>
      <c r="B47" s="7"/>
      <c r="C47" s="19"/>
      <c r="D47" s="19"/>
      <c r="E47" s="19"/>
      <c r="F47" s="7"/>
      <c r="G47" s="7"/>
      <c r="H47" s="7"/>
      <c r="I47" s="7"/>
      <c r="J47" s="7"/>
      <c r="K47" s="7"/>
      <c r="L47" s="7"/>
      <c r="M47" s="7"/>
      <c r="N47" s="7"/>
    </row>
    <row r="48" spans="1:14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>
      <c r="A49" s="5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>
      <c r="A50" s="5"/>
      <c r="B50" s="7"/>
      <c r="C50" s="94" t="s">
        <v>516</v>
      </c>
      <c r="D50" s="87"/>
      <c r="E50" s="87"/>
      <c r="F50" s="87"/>
      <c r="G50" s="87"/>
      <c r="H50" s="87"/>
      <c r="I50" s="87"/>
      <c r="J50" s="87"/>
      <c r="K50" s="87"/>
      <c r="L50" s="7"/>
      <c r="M50" s="7"/>
      <c r="N50" s="7"/>
    </row>
    <row r="51" spans="1:14">
      <c r="A51" s="5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>
      <c r="A52" s="5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>
      <c r="A53" s="5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>
      <c r="A54" s="5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>
      <c r="A55" s="5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>
      <c r="A56" s="5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>
      <c r="A57" s="5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>
      <c r="A58" s="5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</sheetData>
  <mergeCells count="17">
    <mergeCell ref="G38:K38"/>
    <mergeCell ref="C50:K50"/>
    <mergeCell ref="G11:K11"/>
    <mergeCell ref="C38:F38"/>
    <mergeCell ref="C11:F11"/>
    <mergeCell ref="C8:D9"/>
    <mergeCell ref="C2:K2"/>
    <mergeCell ref="C1:K1"/>
    <mergeCell ref="C25:K25"/>
    <mergeCell ref="C7:D7"/>
    <mergeCell ref="G7:H7"/>
    <mergeCell ref="E7:F7"/>
    <mergeCell ref="C5:H5"/>
    <mergeCell ref="I7:J7"/>
    <mergeCell ref="E8:F9"/>
    <mergeCell ref="I8:J9"/>
    <mergeCell ref="G8:H9"/>
  </mergeCells>
  <pageMargins left="0.75" right="0.75" top="1" bottom="1" header="0.5" footer="0.5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5">
    <tabColor rgb="FFD4AF37"/>
  </sheetPr>
  <dimension ref="A1:M66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8" customWidth="1"/>
    <col min="4" max="4" width="18" customWidth="1"/>
    <col min="5" max="5" width="12" customWidth="1"/>
    <col min="6" max="6" width="14" customWidth="1"/>
    <col min="7" max="9" width="10" customWidth="1"/>
    <col min="10" max="11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517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16.05" customHeight="1">
      <c r="A7" s="17"/>
      <c r="B7" s="7"/>
      <c r="C7" s="130" t="s">
        <v>518</v>
      </c>
      <c r="D7" s="128"/>
      <c r="E7" s="130" t="s">
        <v>519</v>
      </c>
      <c r="F7" s="128"/>
      <c r="G7" s="130" t="s">
        <v>520</v>
      </c>
      <c r="H7" s="128"/>
      <c r="I7" s="130" t="s">
        <v>521</v>
      </c>
      <c r="J7" s="128"/>
      <c r="K7" s="7"/>
      <c r="L7" s="7"/>
      <c r="M7" s="7"/>
    </row>
    <row r="8" spans="1:13" ht="19.95" customHeight="1">
      <c r="A8" s="17"/>
      <c r="B8" s="7"/>
      <c r="C8" s="131">
        <v>0</v>
      </c>
      <c r="D8" s="128"/>
      <c r="E8" s="131">
        <v>20</v>
      </c>
      <c r="F8" s="128"/>
      <c r="G8" s="131">
        <v>0</v>
      </c>
      <c r="H8" s="128"/>
      <c r="I8" s="131">
        <v>0</v>
      </c>
      <c r="J8" s="128"/>
      <c r="K8" s="7"/>
      <c r="L8" s="7"/>
      <c r="M8" s="7"/>
    </row>
    <row r="9" spans="1:13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</row>
    <row r="10" spans="1:13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34.049999999999997" customHeight="1">
      <c r="A11" s="17"/>
      <c r="B11" s="7"/>
      <c r="C11" s="97" t="s">
        <v>522</v>
      </c>
      <c r="D11" s="87"/>
      <c r="E11" s="87"/>
      <c r="F11" s="87"/>
      <c r="G11" s="87"/>
      <c r="H11" s="7"/>
      <c r="I11" s="7"/>
      <c r="J11" s="7"/>
      <c r="K11" s="7"/>
      <c r="L11" s="7"/>
      <c r="M11" s="7"/>
    </row>
    <row r="12" spans="1:13" ht="34.049999999999997" customHeight="1">
      <c r="A12" s="17"/>
      <c r="B12" s="7"/>
      <c r="C12" s="18" t="s">
        <v>70</v>
      </c>
      <c r="D12" s="18" t="s">
        <v>177</v>
      </c>
      <c r="E12" s="18" t="s">
        <v>294</v>
      </c>
      <c r="F12" s="18" t="s">
        <v>523</v>
      </c>
      <c r="G12" s="18" t="s">
        <v>524</v>
      </c>
      <c r="H12" s="18" t="s">
        <v>106</v>
      </c>
      <c r="I12" s="18" t="s">
        <v>525</v>
      </c>
      <c r="J12" s="7"/>
      <c r="K12" s="7"/>
      <c r="L12" s="7"/>
      <c r="M12" s="7"/>
    </row>
    <row r="13" spans="1:13" ht="34.049999999999997" customHeight="1">
      <c r="A13" s="17"/>
      <c r="B13" s="7"/>
      <c r="C13" s="19"/>
      <c r="D13" s="19"/>
      <c r="E13" s="19"/>
      <c r="F13" s="19"/>
      <c r="G13" s="19"/>
      <c r="H13" s="19"/>
      <c r="I13" s="19"/>
      <c r="J13" s="7"/>
      <c r="K13" s="7"/>
      <c r="L13" s="7"/>
      <c r="M13" s="7"/>
    </row>
    <row r="14" spans="1:13" ht="34.049999999999997" customHeight="1">
      <c r="A14" s="17"/>
      <c r="B14" s="7"/>
      <c r="C14" s="19"/>
      <c r="D14" s="19"/>
      <c r="E14" s="19"/>
      <c r="F14" s="19"/>
      <c r="G14" s="19"/>
      <c r="H14" s="19"/>
      <c r="I14" s="19"/>
      <c r="J14" s="7"/>
      <c r="K14" s="7"/>
      <c r="L14" s="7"/>
      <c r="M14" s="7"/>
    </row>
    <row r="15" spans="1:13" ht="34.049999999999997" customHeight="1">
      <c r="A15" s="17"/>
      <c r="B15" s="7"/>
      <c r="C15" s="19"/>
      <c r="D15" s="19"/>
      <c r="E15" s="19"/>
      <c r="F15" s="19"/>
      <c r="G15" s="19"/>
      <c r="H15" s="19"/>
      <c r="I15" s="19"/>
      <c r="J15" s="7"/>
      <c r="K15" s="7"/>
      <c r="L15" s="7"/>
      <c r="M15" s="7"/>
    </row>
    <row r="16" spans="1:13" ht="34.049999999999997" customHeight="1">
      <c r="A16" s="15"/>
      <c r="B16" s="7"/>
      <c r="C16" s="19"/>
      <c r="D16" s="19"/>
      <c r="E16" s="19"/>
      <c r="F16" s="19"/>
      <c r="G16" s="19"/>
      <c r="H16" s="19"/>
      <c r="I16" s="19"/>
      <c r="J16" s="7"/>
      <c r="K16" s="7"/>
      <c r="L16" s="7"/>
      <c r="M16" s="7"/>
    </row>
    <row r="17" spans="1:13" ht="34.049999999999997" customHeight="1">
      <c r="A17" s="17"/>
      <c r="B17" s="7"/>
      <c r="C17" s="19"/>
      <c r="D17" s="19"/>
      <c r="E17" s="19"/>
      <c r="F17" s="19"/>
      <c r="G17" s="19"/>
      <c r="H17" s="19"/>
      <c r="I17" s="19"/>
      <c r="J17" s="7"/>
      <c r="K17" s="7"/>
      <c r="L17" s="7"/>
      <c r="M17" s="7"/>
    </row>
    <row r="18" spans="1:13" ht="34.049999999999997" customHeight="1">
      <c r="A18" s="17"/>
      <c r="B18" s="7"/>
      <c r="C18" s="19"/>
      <c r="D18" s="19"/>
      <c r="E18" s="19"/>
      <c r="F18" s="19"/>
      <c r="G18" s="19"/>
      <c r="H18" s="19"/>
      <c r="I18" s="19"/>
      <c r="J18" s="7"/>
      <c r="K18" s="7"/>
      <c r="L18" s="7"/>
      <c r="M18" s="7"/>
    </row>
    <row r="19" spans="1:13" ht="34.049999999999997" customHeight="1">
      <c r="A19" s="17"/>
      <c r="B19" s="7"/>
      <c r="C19" s="19"/>
      <c r="D19" s="19"/>
      <c r="E19" s="19"/>
      <c r="F19" s="19"/>
      <c r="G19" s="19"/>
      <c r="H19" s="19"/>
      <c r="I19" s="19"/>
      <c r="J19" s="7"/>
      <c r="K19" s="7"/>
      <c r="L19" s="7"/>
      <c r="M19" s="7"/>
    </row>
    <row r="20" spans="1:13" ht="34.049999999999997" customHeight="1">
      <c r="A20" s="17"/>
      <c r="B20" s="7"/>
      <c r="C20" s="19"/>
      <c r="D20" s="19"/>
      <c r="E20" s="19"/>
      <c r="F20" s="19"/>
      <c r="G20" s="19"/>
      <c r="H20" s="19"/>
      <c r="I20" s="19"/>
      <c r="J20" s="7"/>
      <c r="K20" s="7"/>
      <c r="L20" s="7"/>
      <c r="M20" s="7"/>
    </row>
    <row r="21" spans="1:13" ht="34.049999999999997" customHeight="1">
      <c r="A21" s="17"/>
      <c r="B21" s="7"/>
      <c r="C21" s="19"/>
      <c r="D21" s="19"/>
      <c r="E21" s="19"/>
      <c r="F21" s="19"/>
      <c r="G21" s="19"/>
      <c r="H21" s="19"/>
      <c r="I21" s="19"/>
      <c r="J21" s="7"/>
      <c r="K21" s="7"/>
      <c r="L21" s="7"/>
      <c r="M21" s="7"/>
    </row>
    <row r="22" spans="1:13" ht="34.049999999999997" customHeight="1">
      <c r="A22" s="17"/>
      <c r="B22" s="7"/>
      <c r="C22" s="19"/>
      <c r="D22" s="19"/>
      <c r="E22" s="19"/>
      <c r="F22" s="19"/>
      <c r="G22" s="19"/>
      <c r="H22" s="19"/>
      <c r="I22" s="19"/>
      <c r="J22" s="7"/>
      <c r="K22" s="7"/>
      <c r="L22" s="7"/>
      <c r="M22" s="7"/>
    </row>
    <row r="23" spans="1:13" ht="34.049999999999997" customHeight="1">
      <c r="A23" s="1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18">
      <c r="A24" s="5"/>
      <c r="B24" s="7"/>
      <c r="C24" s="97" t="s">
        <v>526</v>
      </c>
      <c r="D24" s="87"/>
      <c r="E24" s="87"/>
      <c r="F24" s="87"/>
      <c r="G24" s="87"/>
      <c r="H24" s="87"/>
      <c r="I24" s="87"/>
      <c r="J24" s="87"/>
      <c r="K24" s="7"/>
      <c r="L24" s="7"/>
      <c r="M24" s="7"/>
    </row>
    <row r="25" spans="1:13">
      <c r="A25" s="5"/>
      <c r="B25" s="7"/>
      <c r="C25" s="18" t="s">
        <v>527</v>
      </c>
      <c r="D25" s="18" t="s">
        <v>528</v>
      </c>
      <c r="E25" s="18" t="s">
        <v>529</v>
      </c>
      <c r="F25" s="18" t="s">
        <v>530</v>
      </c>
      <c r="G25" s="18" t="s">
        <v>531</v>
      </c>
      <c r="H25" s="18" t="s">
        <v>297</v>
      </c>
      <c r="I25" s="7"/>
      <c r="J25" s="7"/>
      <c r="K25" s="7"/>
      <c r="L25" s="7"/>
      <c r="M25" s="7"/>
    </row>
    <row r="26" spans="1:13">
      <c r="A26" s="5"/>
      <c r="B26" s="7"/>
      <c r="C26" s="19"/>
      <c r="D26" s="19"/>
      <c r="E26" s="19"/>
      <c r="F26" s="19"/>
      <c r="G26" s="19"/>
      <c r="H26" s="19"/>
      <c r="I26" s="7"/>
      <c r="J26" s="7"/>
      <c r="K26" s="7"/>
      <c r="L26" s="7"/>
      <c r="M26" s="7"/>
    </row>
    <row r="27" spans="1:13">
      <c r="A27" s="5"/>
      <c r="B27" s="7"/>
      <c r="C27" s="19"/>
      <c r="D27" s="19"/>
      <c r="E27" s="19"/>
      <c r="F27" s="19"/>
      <c r="G27" s="19"/>
      <c r="H27" s="19"/>
      <c r="I27" s="7"/>
      <c r="J27" s="7"/>
      <c r="K27" s="7"/>
      <c r="L27" s="7"/>
      <c r="M27" s="7"/>
    </row>
    <row r="28" spans="1:13">
      <c r="A28" s="5"/>
      <c r="B28" s="7"/>
      <c r="C28" s="19"/>
      <c r="D28" s="19"/>
      <c r="E28" s="19"/>
      <c r="F28" s="19"/>
      <c r="G28" s="19"/>
      <c r="H28" s="19"/>
      <c r="I28" s="7"/>
      <c r="J28" s="7"/>
      <c r="K28" s="7"/>
      <c r="L28" s="7"/>
      <c r="M28" s="7"/>
    </row>
    <row r="29" spans="1:13">
      <c r="A29" s="5"/>
      <c r="B29" s="7"/>
      <c r="C29" s="19"/>
      <c r="D29" s="19"/>
      <c r="E29" s="19"/>
      <c r="F29" s="19"/>
      <c r="G29" s="19"/>
      <c r="H29" s="19"/>
      <c r="I29" s="7"/>
      <c r="J29" s="7"/>
      <c r="K29" s="7"/>
      <c r="L29" s="7"/>
      <c r="M29" s="7"/>
    </row>
    <row r="30" spans="1:13">
      <c r="A30" s="5"/>
      <c r="B30" s="7"/>
      <c r="C30" s="19"/>
      <c r="D30" s="19"/>
      <c r="E30" s="19"/>
      <c r="F30" s="19"/>
      <c r="G30" s="19"/>
      <c r="H30" s="19"/>
      <c r="I30" s="7"/>
      <c r="J30" s="7"/>
      <c r="K30" s="7"/>
      <c r="L30" s="7"/>
      <c r="M30" s="7"/>
    </row>
    <row r="31" spans="1:13">
      <c r="A31" s="5"/>
      <c r="B31" s="7"/>
      <c r="C31" s="19"/>
      <c r="D31" s="19"/>
      <c r="E31" s="19"/>
      <c r="F31" s="19"/>
      <c r="G31" s="19"/>
      <c r="H31" s="19"/>
      <c r="I31" s="7"/>
      <c r="J31" s="7"/>
      <c r="K31" s="7"/>
      <c r="L31" s="7"/>
      <c r="M31" s="7"/>
    </row>
    <row r="32" spans="1:13">
      <c r="A32" s="5"/>
      <c r="B32" s="7"/>
      <c r="C32" s="19"/>
      <c r="D32" s="19"/>
      <c r="E32" s="19"/>
      <c r="F32" s="19"/>
      <c r="G32" s="19"/>
      <c r="H32" s="19"/>
      <c r="I32" s="7"/>
      <c r="J32" s="7"/>
      <c r="K32" s="7"/>
      <c r="L32" s="7"/>
      <c r="M32" s="7"/>
    </row>
    <row r="33" spans="1:13">
      <c r="A33" s="5"/>
      <c r="B33" s="7"/>
      <c r="C33" s="19"/>
      <c r="D33" s="19"/>
      <c r="E33" s="19"/>
      <c r="F33" s="19"/>
      <c r="G33" s="19"/>
      <c r="H33" s="19"/>
      <c r="I33" s="7"/>
      <c r="J33" s="7"/>
      <c r="K33" s="7"/>
      <c r="L33" s="7"/>
      <c r="M33" s="7"/>
    </row>
    <row r="34" spans="1:13">
      <c r="A34" s="5"/>
      <c r="B34" s="7"/>
      <c r="C34" s="19"/>
      <c r="D34" s="19"/>
      <c r="E34" s="19"/>
      <c r="F34" s="19"/>
      <c r="G34" s="19"/>
      <c r="H34" s="19"/>
      <c r="I34" s="7"/>
      <c r="J34" s="7"/>
      <c r="K34" s="7"/>
      <c r="L34" s="7"/>
      <c r="M34" s="7"/>
    </row>
    <row r="35" spans="1:13">
      <c r="A35" s="5"/>
      <c r="B35" s="7"/>
      <c r="C35" s="19"/>
      <c r="D35" s="19"/>
      <c r="E35" s="19"/>
      <c r="F35" s="19"/>
      <c r="G35" s="19"/>
      <c r="H35" s="19"/>
      <c r="I35" s="7"/>
      <c r="J35" s="7"/>
      <c r="K35" s="7"/>
      <c r="L35" s="7"/>
      <c r="M35" s="7"/>
    </row>
    <row r="36" spans="1:13">
      <c r="A36" s="5"/>
      <c r="B36" s="7"/>
      <c r="C36" s="19"/>
      <c r="D36" s="19"/>
      <c r="E36" s="19"/>
      <c r="F36" s="19"/>
      <c r="G36" s="19"/>
      <c r="H36" s="19"/>
      <c r="I36" s="7"/>
      <c r="J36" s="7"/>
      <c r="K36" s="7"/>
      <c r="L36" s="7"/>
      <c r="M36" s="7"/>
    </row>
    <row r="37" spans="1:13">
      <c r="A37" s="5"/>
      <c r="B37" s="7"/>
      <c r="C37" s="19"/>
      <c r="D37" s="19"/>
      <c r="E37" s="19"/>
      <c r="F37" s="19"/>
      <c r="G37" s="19"/>
      <c r="H37" s="19"/>
      <c r="I37" s="7"/>
      <c r="J37" s="7"/>
      <c r="K37" s="7"/>
      <c r="L37" s="7"/>
      <c r="M37" s="7"/>
    </row>
    <row r="38" spans="1:13">
      <c r="A38" s="5"/>
      <c r="B38" s="7"/>
      <c r="C38" s="19"/>
      <c r="D38" s="19"/>
      <c r="E38" s="19"/>
      <c r="F38" s="19"/>
      <c r="G38" s="19"/>
      <c r="H38" s="19"/>
      <c r="I38" s="7"/>
      <c r="J38" s="7"/>
      <c r="K38" s="7"/>
      <c r="L38" s="7"/>
      <c r="M38" s="7"/>
    </row>
    <row r="39" spans="1:13">
      <c r="A39" s="5"/>
      <c r="B39" s="7"/>
      <c r="C39" s="19"/>
      <c r="D39" s="19"/>
      <c r="E39" s="19"/>
      <c r="F39" s="19"/>
      <c r="G39" s="19"/>
      <c r="H39" s="19"/>
      <c r="I39" s="7"/>
      <c r="J39" s="7"/>
      <c r="K39" s="7"/>
      <c r="L39" s="7"/>
      <c r="M39" s="7"/>
    </row>
    <row r="40" spans="1:13">
      <c r="A40" s="5"/>
      <c r="B40" s="7"/>
      <c r="C40" s="19"/>
      <c r="D40" s="19"/>
      <c r="E40" s="19"/>
      <c r="F40" s="19"/>
      <c r="G40" s="19"/>
      <c r="H40" s="19"/>
      <c r="I40" s="7"/>
      <c r="J40" s="7"/>
      <c r="K40" s="7"/>
      <c r="L40" s="7"/>
      <c r="M40" s="7"/>
    </row>
    <row r="41" spans="1:13" ht="36" customHeight="1">
      <c r="A41" s="5"/>
      <c r="B41" s="7"/>
      <c r="C41" s="136"/>
      <c r="D41" s="87"/>
      <c r="E41" s="87"/>
      <c r="F41" s="87"/>
      <c r="G41" s="87"/>
      <c r="H41" s="87"/>
      <c r="I41" s="87"/>
      <c r="J41" s="87"/>
      <c r="K41" s="7"/>
      <c r="L41" s="7"/>
      <c r="M41" s="7"/>
    </row>
    <row r="42" spans="1:13" ht="36" customHeight="1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  <row r="43" spans="1:13">
      <c r="A43" s="5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spans="1:13" ht="18">
      <c r="A44" s="5"/>
      <c r="B44" s="7"/>
      <c r="C44" s="97" t="s">
        <v>532</v>
      </c>
      <c r="D44" s="87"/>
      <c r="E44" s="87"/>
      <c r="F44" s="87"/>
      <c r="G44" s="87"/>
      <c r="H44" s="7"/>
      <c r="I44" s="7"/>
      <c r="J44" s="7"/>
      <c r="K44" s="7"/>
      <c r="L44" s="7"/>
      <c r="M44" s="7"/>
    </row>
    <row r="45" spans="1:13">
      <c r="A45" s="5"/>
      <c r="B45" s="7"/>
      <c r="C45" s="18" t="s">
        <v>533</v>
      </c>
      <c r="D45" s="18" t="s">
        <v>529</v>
      </c>
      <c r="E45" s="18" t="s">
        <v>528</v>
      </c>
      <c r="F45" s="18" t="s">
        <v>314</v>
      </c>
      <c r="G45" s="7"/>
      <c r="H45" s="7"/>
      <c r="I45" s="7"/>
      <c r="J45" s="7"/>
      <c r="K45" s="7"/>
      <c r="L45" s="7"/>
      <c r="M45" s="7"/>
    </row>
    <row r="46" spans="1:13">
      <c r="A46" s="5"/>
      <c r="B46" s="7"/>
      <c r="C46" s="19" t="s">
        <v>534</v>
      </c>
      <c r="D46" s="19" t="s">
        <v>322</v>
      </c>
      <c r="E46" s="19" t="s">
        <v>535</v>
      </c>
      <c r="F46" s="19" t="s">
        <v>536</v>
      </c>
      <c r="G46" s="7"/>
      <c r="H46" s="7"/>
      <c r="I46" s="7"/>
      <c r="J46" s="7"/>
      <c r="K46" s="7"/>
      <c r="L46" s="7"/>
      <c r="M46" s="7"/>
    </row>
    <row r="47" spans="1:13">
      <c r="A47" s="5"/>
      <c r="B47" s="7"/>
      <c r="C47" s="19" t="s">
        <v>537</v>
      </c>
      <c r="D47" s="19" t="s">
        <v>538</v>
      </c>
      <c r="E47" s="19" t="s">
        <v>535</v>
      </c>
      <c r="F47" s="19" t="s">
        <v>536</v>
      </c>
      <c r="G47" s="7"/>
      <c r="H47" s="7"/>
      <c r="I47" s="7"/>
      <c r="J47" s="7"/>
      <c r="K47" s="7"/>
      <c r="L47" s="7"/>
      <c r="M47" s="7"/>
    </row>
    <row r="48" spans="1:13">
      <c r="A48" s="5"/>
      <c r="B48" s="7"/>
      <c r="C48" s="19" t="s">
        <v>539</v>
      </c>
      <c r="D48" s="19" t="s">
        <v>540</v>
      </c>
      <c r="E48" s="19" t="s">
        <v>535</v>
      </c>
      <c r="F48" s="19" t="s">
        <v>541</v>
      </c>
      <c r="G48" s="7"/>
      <c r="H48" s="7"/>
      <c r="I48" s="7"/>
      <c r="J48" s="7"/>
      <c r="K48" s="7"/>
      <c r="L48" s="7"/>
      <c r="M48" s="7"/>
    </row>
    <row r="49" spans="1:13">
      <c r="A49" s="5"/>
      <c r="B49" s="7"/>
      <c r="C49" s="19" t="s">
        <v>542</v>
      </c>
      <c r="D49" s="19" t="s">
        <v>543</v>
      </c>
      <c r="E49" s="19" t="s">
        <v>544</v>
      </c>
      <c r="F49" s="19" t="s">
        <v>545</v>
      </c>
      <c r="G49" s="7"/>
      <c r="H49" s="7"/>
      <c r="I49" s="7"/>
      <c r="J49" s="7"/>
      <c r="K49" s="7"/>
      <c r="L49" s="7"/>
      <c r="M49" s="7"/>
    </row>
    <row r="50" spans="1:13">
      <c r="A50" s="5"/>
      <c r="B50" s="7"/>
      <c r="C50" s="19" t="s">
        <v>546</v>
      </c>
      <c r="D50" s="19" t="s">
        <v>547</v>
      </c>
      <c r="E50" s="19" t="s">
        <v>544</v>
      </c>
      <c r="F50" s="19" t="s">
        <v>55</v>
      </c>
      <c r="G50" s="7"/>
      <c r="H50" s="7"/>
      <c r="I50" s="7"/>
      <c r="J50" s="7"/>
      <c r="K50" s="7"/>
      <c r="L50" s="7"/>
      <c r="M50" s="7"/>
    </row>
    <row r="51" spans="1:13">
      <c r="A51" s="5"/>
      <c r="B51" s="7"/>
      <c r="C51" s="19" t="s">
        <v>548</v>
      </c>
      <c r="D51" s="19" t="s">
        <v>549</v>
      </c>
      <c r="E51" s="19" t="s">
        <v>550</v>
      </c>
      <c r="F51" s="19" t="s">
        <v>55</v>
      </c>
      <c r="G51" s="7"/>
      <c r="H51" s="7"/>
      <c r="I51" s="7"/>
      <c r="J51" s="7"/>
      <c r="K51" s="7"/>
      <c r="L51" s="7"/>
      <c r="M51" s="7"/>
    </row>
    <row r="52" spans="1:13">
      <c r="A52" s="5"/>
      <c r="B52" s="7"/>
      <c r="C52" s="19" t="s">
        <v>551</v>
      </c>
      <c r="D52" s="19" t="s">
        <v>552</v>
      </c>
      <c r="E52" s="19" t="s">
        <v>550</v>
      </c>
      <c r="F52" s="19" t="s">
        <v>552</v>
      </c>
      <c r="G52" s="7"/>
      <c r="H52" s="7"/>
      <c r="I52" s="7"/>
      <c r="J52" s="7"/>
      <c r="K52" s="7"/>
      <c r="L52" s="7"/>
      <c r="M52" s="7"/>
    </row>
    <row r="53" spans="1:13">
      <c r="A53" s="5"/>
      <c r="B53" s="7"/>
      <c r="C53" s="19" t="s">
        <v>553</v>
      </c>
      <c r="D53" s="19" t="s">
        <v>554</v>
      </c>
      <c r="E53" s="19" t="s">
        <v>550</v>
      </c>
      <c r="F53" s="19" t="s">
        <v>326</v>
      </c>
      <c r="G53" s="7"/>
      <c r="H53" s="7"/>
      <c r="I53" s="7"/>
      <c r="J53" s="7"/>
      <c r="K53" s="7"/>
      <c r="L53" s="7"/>
      <c r="M53" s="7"/>
    </row>
    <row r="54" spans="1:13">
      <c r="A54" s="5"/>
      <c r="B54" s="7"/>
      <c r="C54" s="19" t="s">
        <v>555</v>
      </c>
      <c r="D54" s="19" t="s">
        <v>556</v>
      </c>
      <c r="E54" s="19" t="s">
        <v>503</v>
      </c>
      <c r="F54" s="19" t="s">
        <v>541</v>
      </c>
      <c r="G54" s="7"/>
      <c r="H54" s="7"/>
      <c r="I54" s="7"/>
      <c r="J54" s="7"/>
      <c r="K54" s="7"/>
      <c r="L54" s="7"/>
      <c r="M54" s="7"/>
    </row>
    <row r="55" spans="1:13">
      <c r="A55" s="5"/>
      <c r="B55" s="7"/>
      <c r="C55" s="19" t="s">
        <v>557</v>
      </c>
      <c r="D55" s="19" t="s">
        <v>558</v>
      </c>
      <c r="E55" s="19" t="s">
        <v>503</v>
      </c>
      <c r="F55" s="19" t="s">
        <v>541</v>
      </c>
      <c r="G55" s="7"/>
      <c r="H55" s="7"/>
      <c r="I55" s="7"/>
      <c r="J55" s="7"/>
      <c r="K55" s="7"/>
      <c r="L55" s="7"/>
      <c r="M55" s="7"/>
    </row>
    <row r="56" spans="1:13">
      <c r="A56" s="5"/>
      <c r="B56" s="7"/>
      <c r="C56" s="19" t="s">
        <v>559</v>
      </c>
      <c r="D56" s="19" t="s">
        <v>560</v>
      </c>
      <c r="E56" s="19" t="s">
        <v>561</v>
      </c>
      <c r="F56" s="19" t="s">
        <v>55</v>
      </c>
      <c r="G56" s="7"/>
      <c r="H56" s="7"/>
      <c r="I56" s="7"/>
      <c r="J56" s="7"/>
      <c r="K56" s="7"/>
      <c r="L56" s="7"/>
      <c r="M56" s="7"/>
    </row>
    <row r="57" spans="1:13">
      <c r="A57" s="5"/>
      <c r="B57" s="7"/>
      <c r="C57" s="19" t="s">
        <v>562</v>
      </c>
      <c r="D57" s="19" t="s">
        <v>563</v>
      </c>
      <c r="E57" s="19" t="s">
        <v>561</v>
      </c>
      <c r="F57" s="19" t="s">
        <v>541</v>
      </c>
      <c r="G57" s="7"/>
      <c r="H57" s="7"/>
      <c r="I57" s="7"/>
      <c r="J57" s="7"/>
      <c r="K57" s="7"/>
      <c r="L57" s="7"/>
      <c r="M57" s="7"/>
    </row>
    <row r="58" spans="1:13">
      <c r="A58" s="5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</row>
    <row r="59" spans="1:13">
      <c r="A59" s="5"/>
      <c r="B59" s="7"/>
      <c r="C59" s="94" t="s">
        <v>564</v>
      </c>
      <c r="D59" s="87"/>
      <c r="E59" s="87"/>
      <c r="F59" s="87"/>
      <c r="G59" s="87"/>
      <c r="H59" s="87"/>
      <c r="I59" s="87"/>
      <c r="J59" s="87"/>
      <c r="K59" s="7"/>
      <c r="L59" s="7"/>
      <c r="M59" s="7"/>
    </row>
    <row r="60" spans="1:13">
      <c r="A60" s="5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</row>
    <row r="61" spans="1:13">
      <c r="A61" s="5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</row>
    <row r="62" spans="1:13">
      <c r="A62" s="5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</row>
    <row r="63" spans="1:13">
      <c r="A63" s="5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</row>
    <row r="64" spans="1:13">
      <c r="A64" s="5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</row>
    <row r="65" spans="1:13">
      <c r="A65" s="5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</row>
    <row r="66" spans="1:13">
      <c r="A66" s="5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</row>
  </sheetData>
  <mergeCells count="16">
    <mergeCell ref="C1:J1"/>
    <mergeCell ref="C5:H5"/>
    <mergeCell ref="I7:J7"/>
    <mergeCell ref="C24:J24"/>
    <mergeCell ref="C2:J2"/>
    <mergeCell ref="C11:G11"/>
    <mergeCell ref="E8:F9"/>
    <mergeCell ref="I8:J9"/>
    <mergeCell ref="G8:H9"/>
    <mergeCell ref="C8:D9"/>
    <mergeCell ref="C7:D7"/>
    <mergeCell ref="C59:J59"/>
    <mergeCell ref="G7:H7"/>
    <mergeCell ref="E7:F7"/>
    <mergeCell ref="C44:G44"/>
    <mergeCell ref="C41:J41"/>
  </mergeCells>
  <pageMargins left="0.75" right="0.75" top="1" bottom="1" header="0.5" footer="0.5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6">
    <tabColor rgb="FFD4AF37"/>
  </sheetPr>
  <dimension ref="A1:M58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14" customWidth="1"/>
    <col min="4" max="4" width="18" customWidth="1"/>
    <col min="5" max="9" width="12" customWidth="1"/>
    <col min="10" max="10" width="14" customWidth="1"/>
    <col min="11" max="11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565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16.05" customHeight="1">
      <c r="A7" s="17"/>
      <c r="B7" s="7"/>
      <c r="C7" s="130" t="s">
        <v>566</v>
      </c>
      <c r="D7" s="128"/>
      <c r="E7" s="130" t="s">
        <v>567</v>
      </c>
      <c r="F7" s="128"/>
      <c r="G7" s="130" t="s">
        <v>568</v>
      </c>
      <c r="H7" s="128"/>
      <c r="I7" s="130" t="s">
        <v>569</v>
      </c>
      <c r="J7" s="128"/>
      <c r="K7" s="7"/>
      <c r="L7" s="7"/>
      <c r="M7" s="7"/>
    </row>
    <row r="8" spans="1:13" ht="19.95" customHeight="1">
      <c r="A8" s="17"/>
      <c r="B8" s="7"/>
      <c r="C8" s="131">
        <v>0</v>
      </c>
      <c r="D8" s="128"/>
      <c r="E8" s="131">
        <v>0</v>
      </c>
      <c r="F8" s="128"/>
      <c r="G8" s="131">
        <v>0</v>
      </c>
      <c r="H8" s="128"/>
      <c r="I8" s="131">
        <v>0</v>
      </c>
      <c r="J8" s="128"/>
      <c r="K8" s="7"/>
      <c r="L8" s="7"/>
      <c r="M8" s="7"/>
    </row>
    <row r="9" spans="1:13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</row>
    <row r="10" spans="1:13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34.049999999999997" customHeight="1">
      <c r="A11" s="17"/>
      <c r="B11" s="7"/>
      <c r="C11" s="97" t="s">
        <v>570</v>
      </c>
      <c r="D11" s="87"/>
      <c r="E11" s="87"/>
      <c r="F11" s="87"/>
      <c r="G11" s="7"/>
      <c r="H11" s="97" t="s">
        <v>571</v>
      </c>
      <c r="I11" s="87"/>
      <c r="J11" s="87"/>
      <c r="K11" s="87"/>
      <c r="L11" s="7"/>
      <c r="M11" s="7"/>
    </row>
    <row r="12" spans="1:13" ht="34.049999999999997" customHeight="1">
      <c r="A12" s="17"/>
      <c r="B12" s="7"/>
      <c r="C12" s="66" t="s">
        <v>492</v>
      </c>
      <c r="D12" s="19"/>
      <c r="E12" s="7"/>
      <c r="F12" s="7"/>
      <c r="G12" s="7"/>
      <c r="H12" s="18" t="s">
        <v>217</v>
      </c>
      <c r="I12" s="18" t="s">
        <v>346</v>
      </c>
      <c r="J12" s="18" t="s">
        <v>572</v>
      </c>
      <c r="K12" s="18" t="s">
        <v>106</v>
      </c>
      <c r="L12" s="7"/>
      <c r="M12" s="7"/>
    </row>
    <row r="13" spans="1:13" ht="34.049999999999997" customHeight="1">
      <c r="A13" s="17"/>
      <c r="B13" s="7"/>
      <c r="C13" s="66" t="s">
        <v>99</v>
      </c>
      <c r="D13" s="19"/>
      <c r="E13" s="7"/>
      <c r="F13" s="7"/>
      <c r="G13" s="7"/>
      <c r="H13" s="19"/>
      <c r="I13" s="19"/>
      <c r="J13" s="19"/>
      <c r="K13" s="19"/>
      <c r="L13" s="7"/>
      <c r="M13" s="7"/>
    </row>
    <row r="14" spans="1:13" ht="34.049999999999997" customHeight="1">
      <c r="A14" s="17"/>
      <c r="B14" s="7"/>
      <c r="C14" s="66" t="s">
        <v>573</v>
      </c>
      <c r="D14" s="19" t="s">
        <v>574</v>
      </c>
      <c r="E14" s="7"/>
      <c r="F14" s="7"/>
      <c r="G14" s="7"/>
      <c r="H14" s="19"/>
      <c r="I14" s="19"/>
      <c r="J14" s="19"/>
      <c r="K14" s="19"/>
      <c r="L14" s="7"/>
      <c r="M14" s="7"/>
    </row>
    <row r="15" spans="1:13" ht="34.049999999999997" customHeight="1">
      <c r="A15" s="17"/>
      <c r="B15" s="7"/>
      <c r="C15" s="7"/>
      <c r="D15" s="7"/>
      <c r="E15" s="7"/>
      <c r="F15" s="7"/>
      <c r="G15" s="7"/>
      <c r="H15" s="19"/>
      <c r="I15" s="19"/>
      <c r="J15" s="19"/>
      <c r="K15" s="19"/>
      <c r="L15" s="7"/>
      <c r="M15" s="7"/>
    </row>
    <row r="16" spans="1:13" ht="34.049999999999997" customHeight="1">
      <c r="A16" s="17"/>
      <c r="B16" s="7"/>
      <c r="C16" s="97" t="s">
        <v>575</v>
      </c>
      <c r="D16" s="87"/>
      <c r="E16" s="87"/>
      <c r="F16" s="87"/>
      <c r="G16" s="7"/>
      <c r="H16" s="19"/>
      <c r="I16" s="19"/>
      <c r="J16" s="19"/>
      <c r="K16" s="19"/>
      <c r="L16" s="7"/>
      <c r="M16" s="7"/>
    </row>
    <row r="17" spans="1:13" ht="34.049999999999997" customHeight="1">
      <c r="A17" s="15"/>
      <c r="B17" s="7"/>
      <c r="C17" s="66" t="s">
        <v>177</v>
      </c>
      <c r="D17" s="133"/>
      <c r="E17" s="87"/>
      <c r="F17" s="87"/>
      <c r="G17" s="7"/>
      <c r="H17" s="19"/>
      <c r="I17" s="19"/>
      <c r="J17" s="19"/>
      <c r="K17" s="19"/>
      <c r="L17" s="7"/>
      <c r="M17" s="7"/>
    </row>
    <row r="18" spans="1:13" ht="34.049999999999997" customHeight="1">
      <c r="A18" s="17"/>
      <c r="B18" s="7"/>
      <c r="C18" s="66" t="s">
        <v>54</v>
      </c>
      <c r="D18" s="133"/>
      <c r="E18" s="87"/>
      <c r="F18" s="87"/>
      <c r="G18" s="7"/>
      <c r="H18" s="19"/>
      <c r="I18" s="19"/>
      <c r="J18" s="19"/>
      <c r="K18" s="19"/>
      <c r="L18" s="7"/>
      <c r="M18" s="7"/>
    </row>
    <row r="19" spans="1:13" ht="34.049999999999997" customHeight="1">
      <c r="A19" s="17"/>
      <c r="B19" s="7"/>
      <c r="C19" s="66" t="s">
        <v>576</v>
      </c>
      <c r="D19" s="133"/>
      <c r="E19" s="87"/>
      <c r="F19" s="87"/>
      <c r="G19" s="7"/>
      <c r="H19" s="19"/>
      <c r="I19" s="19"/>
      <c r="J19" s="19"/>
      <c r="K19" s="19"/>
      <c r="L19" s="7"/>
      <c r="M19" s="7"/>
    </row>
    <row r="20" spans="1:13" ht="34.049999999999997" customHeight="1">
      <c r="A20" s="17"/>
      <c r="B20" s="7"/>
      <c r="C20" s="66" t="s">
        <v>443</v>
      </c>
      <c r="D20" s="133"/>
      <c r="E20" s="87"/>
      <c r="F20" s="87"/>
      <c r="G20" s="7"/>
      <c r="H20" s="19"/>
      <c r="I20" s="19"/>
      <c r="J20" s="19"/>
      <c r="K20" s="19"/>
      <c r="L20" s="7"/>
      <c r="M20" s="7"/>
    </row>
    <row r="21" spans="1:13" ht="34.049999999999997" customHeight="1">
      <c r="A21" s="17"/>
      <c r="B21" s="7"/>
      <c r="C21" s="66" t="s">
        <v>76</v>
      </c>
      <c r="D21" s="133"/>
      <c r="E21" s="87"/>
      <c r="F21" s="87"/>
      <c r="G21" s="7"/>
      <c r="H21" s="7"/>
      <c r="I21" s="7"/>
      <c r="J21" s="7"/>
      <c r="K21" s="7"/>
      <c r="L21" s="7"/>
      <c r="M21" s="7"/>
    </row>
    <row r="22" spans="1:13" ht="34.049999999999997" customHeight="1">
      <c r="A22" s="17"/>
      <c r="B22" s="7"/>
      <c r="C22" s="66" t="s">
        <v>483</v>
      </c>
      <c r="D22" s="137"/>
      <c r="E22" s="87"/>
      <c r="F22" s="87"/>
      <c r="G22" s="7"/>
      <c r="H22" s="7"/>
      <c r="I22" s="7"/>
      <c r="J22" s="7"/>
      <c r="K22" s="7"/>
      <c r="L22" s="7"/>
      <c r="M22" s="7"/>
    </row>
    <row r="23" spans="1:13" ht="34.049999999999997" customHeight="1">
      <c r="A23" s="1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36" customHeight="1">
      <c r="A24" s="5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36" customHeight="1">
      <c r="A25" s="5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13" ht="18">
      <c r="A27" s="5"/>
      <c r="B27" s="7"/>
      <c r="C27" s="97" t="s">
        <v>577</v>
      </c>
      <c r="D27" s="87"/>
      <c r="E27" s="87"/>
      <c r="F27" s="87"/>
      <c r="G27" s="87"/>
      <c r="H27" s="87"/>
      <c r="I27" s="87"/>
      <c r="J27" s="87"/>
      <c r="K27" s="87"/>
      <c r="L27" s="7"/>
      <c r="M27" s="7"/>
    </row>
    <row r="28" spans="1:13">
      <c r="A28" s="5"/>
      <c r="B28" s="7"/>
      <c r="C28" s="18" t="s">
        <v>70</v>
      </c>
      <c r="D28" s="18" t="s">
        <v>26</v>
      </c>
      <c r="E28" s="18" t="s">
        <v>177</v>
      </c>
      <c r="F28" s="18" t="s">
        <v>200</v>
      </c>
      <c r="G28" s="18" t="s">
        <v>106</v>
      </c>
      <c r="H28" s="18" t="s">
        <v>572</v>
      </c>
      <c r="I28" s="7"/>
      <c r="J28" s="7"/>
      <c r="K28" s="7"/>
      <c r="L28" s="7"/>
      <c r="M28" s="7"/>
    </row>
    <row r="29" spans="1:13">
      <c r="A29" s="5"/>
      <c r="B29" s="7"/>
      <c r="C29" s="19"/>
      <c r="D29" s="19"/>
      <c r="E29" s="19"/>
      <c r="F29" s="19"/>
      <c r="G29" s="19"/>
      <c r="H29" s="19"/>
      <c r="I29" s="7"/>
      <c r="J29" s="7"/>
      <c r="K29" s="7"/>
      <c r="L29" s="7"/>
      <c r="M29" s="7"/>
    </row>
    <row r="30" spans="1:13">
      <c r="A30" s="5"/>
      <c r="B30" s="7"/>
      <c r="C30" s="19"/>
      <c r="D30" s="19"/>
      <c r="E30" s="19"/>
      <c r="F30" s="19"/>
      <c r="G30" s="19"/>
      <c r="H30" s="19"/>
      <c r="I30" s="7"/>
      <c r="J30" s="7"/>
      <c r="K30" s="7"/>
      <c r="L30" s="7"/>
      <c r="M30" s="7"/>
    </row>
    <row r="31" spans="1:13">
      <c r="A31" s="5"/>
      <c r="B31" s="7"/>
      <c r="C31" s="19"/>
      <c r="D31" s="19"/>
      <c r="E31" s="19"/>
      <c r="F31" s="19"/>
      <c r="G31" s="19"/>
      <c r="H31" s="19"/>
      <c r="I31" s="7"/>
      <c r="J31" s="7"/>
      <c r="K31" s="7"/>
      <c r="L31" s="7"/>
      <c r="M31" s="7"/>
    </row>
    <row r="32" spans="1:13">
      <c r="A32" s="5"/>
      <c r="B32" s="7"/>
      <c r="C32" s="19"/>
      <c r="D32" s="19"/>
      <c r="E32" s="19"/>
      <c r="F32" s="19"/>
      <c r="G32" s="19"/>
      <c r="H32" s="19"/>
      <c r="I32" s="7"/>
      <c r="J32" s="7"/>
      <c r="K32" s="7"/>
      <c r="L32" s="7"/>
      <c r="M32" s="7"/>
    </row>
    <row r="33" spans="1:13">
      <c r="A33" s="5"/>
      <c r="B33" s="7"/>
      <c r="C33" s="19"/>
      <c r="D33" s="19"/>
      <c r="E33" s="19"/>
      <c r="F33" s="19"/>
      <c r="G33" s="19"/>
      <c r="H33" s="19"/>
      <c r="I33" s="7"/>
      <c r="J33" s="7"/>
      <c r="K33" s="7"/>
      <c r="L33" s="7"/>
      <c r="M33" s="7"/>
    </row>
    <row r="34" spans="1:13">
      <c r="A34" s="5"/>
      <c r="B34" s="7"/>
      <c r="C34" s="19"/>
      <c r="D34" s="19"/>
      <c r="E34" s="19"/>
      <c r="F34" s="19"/>
      <c r="G34" s="19"/>
      <c r="H34" s="19"/>
      <c r="I34" s="7"/>
      <c r="J34" s="7"/>
      <c r="K34" s="7"/>
      <c r="L34" s="7"/>
      <c r="M34" s="7"/>
    </row>
    <row r="35" spans="1:13">
      <c r="A35" s="5"/>
      <c r="B35" s="7"/>
      <c r="C35" s="19"/>
      <c r="D35" s="19"/>
      <c r="E35" s="19"/>
      <c r="F35" s="19"/>
      <c r="G35" s="19"/>
      <c r="H35" s="19"/>
      <c r="I35" s="7"/>
      <c r="J35" s="7"/>
      <c r="K35" s="7"/>
      <c r="L35" s="7"/>
      <c r="M35" s="7"/>
    </row>
    <row r="36" spans="1:13">
      <c r="A36" s="5"/>
      <c r="B36" s="7"/>
      <c r="C36" s="19"/>
      <c r="D36" s="19"/>
      <c r="E36" s="19"/>
      <c r="F36" s="19"/>
      <c r="G36" s="19"/>
      <c r="H36" s="19"/>
      <c r="I36" s="7"/>
      <c r="J36" s="7"/>
      <c r="K36" s="7"/>
      <c r="L36" s="7"/>
      <c r="M36" s="7"/>
    </row>
    <row r="37" spans="1:13">
      <c r="A37" s="5"/>
      <c r="B37" s="7"/>
      <c r="C37" s="19"/>
      <c r="D37" s="19"/>
      <c r="E37" s="19"/>
      <c r="F37" s="19"/>
      <c r="G37" s="19"/>
      <c r="H37" s="19"/>
      <c r="I37" s="7"/>
      <c r="J37" s="7"/>
      <c r="K37" s="7"/>
      <c r="L37" s="7"/>
      <c r="M37" s="7"/>
    </row>
    <row r="38" spans="1:13">
      <c r="A38" s="5"/>
      <c r="B38" s="7"/>
      <c r="C38" s="19"/>
      <c r="D38" s="19"/>
      <c r="E38" s="19"/>
      <c r="F38" s="19"/>
      <c r="G38" s="19"/>
      <c r="H38" s="19"/>
      <c r="I38" s="7"/>
      <c r="J38" s="7"/>
      <c r="K38" s="7"/>
      <c r="L38" s="7"/>
      <c r="M38" s="7"/>
    </row>
    <row r="39" spans="1:13">
      <c r="A39" s="5"/>
      <c r="B39" s="7"/>
      <c r="C39" s="19"/>
      <c r="D39" s="19"/>
      <c r="E39" s="19"/>
      <c r="F39" s="19"/>
      <c r="G39" s="19"/>
      <c r="H39" s="19"/>
      <c r="I39" s="7"/>
      <c r="J39" s="7"/>
      <c r="K39" s="7"/>
      <c r="L39" s="7"/>
      <c r="M39" s="7"/>
    </row>
    <row r="40" spans="1:13">
      <c r="A40" s="5"/>
      <c r="B40" s="7"/>
      <c r="C40" s="19"/>
      <c r="D40" s="19"/>
      <c r="E40" s="19"/>
      <c r="F40" s="19"/>
      <c r="G40" s="19"/>
      <c r="H40" s="19"/>
      <c r="I40" s="7"/>
      <c r="J40" s="7"/>
      <c r="K40" s="7"/>
      <c r="L40" s="7"/>
      <c r="M40" s="7"/>
    </row>
    <row r="41" spans="1:13">
      <c r="A41" s="5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</row>
    <row r="42" spans="1:13" ht="18">
      <c r="A42" s="5"/>
      <c r="B42" s="7"/>
      <c r="C42" s="97" t="s">
        <v>578</v>
      </c>
      <c r="D42" s="87"/>
      <c r="E42" s="87"/>
      <c r="F42" s="87"/>
      <c r="G42" s="87"/>
      <c r="H42" s="87"/>
      <c r="I42" s="87"/>
      <c r="J42" s="87"/>
      <c r="K42" s="87"/>
      <c r="L42" s="7"/>
      <c r="M42" s="7"/>
    </row>
    <row r="43" spans="1:13">
      <c r="A43" s="5"/>
      <c r="B43" s="7"/>
      <c r="C43" s="18" t="s">
        <v>492</v>
      </c>
      <c r="D43" s="18" t="s">
        <v>177</v>
      </c>
      <c r="E43" s="18" t="s">
        <v>579</v>
      </c>
      <c r="F43" s="18" t="s">
        <v>468</v>
      </c>
      <c r="G43" s="7"/>
      <c r="H43" s="7"/>
      <c r="I43" s="7"/>
      <c r="J43" s="7"/>
      <c r="K43" s="7"/>
      <c r="L43" s="7"/>
      <c r="M43" s="7"/>
    </row>
    <row r="44" spans="1:13">
      <c r="A44" s="5"/>
      <c r="B44" s="7"/>
      <c r="C44" s="19"/>
      <c r="D44" s="19"/>
      <c r="E44" s="19"/>
      <c r="F44" s="19"/>
      <c r="G44" s="7"/>
      <c r="H44" s="7"/>
      <c r="I44" s="7"/>
      <c r="J44" s="7"/>
      <c r="K44" s="7"/>
      <c r="L44" s="7"/>
      <c r="M44" s="7"/>
    </row>
    <row r="45" spans="1:13">
      <c r="A45" s="5"/>
      <c r="B45" s="7"/>
      <c r="C45" s="19"/>
      <c r="D45" s="19"/>
      <c r="E45" s="19"/>
      <c r="F45" s="19"/>
      <c r="G45" s="7"/>
      <c r="H45" s="7"/>
      <c r="I45" s="7"/>
      <c r="J45" s="7"/>
      <c r="K45" s="7"/>
      <c r="L45" s="7"/>
      <c r="M45" s="7"/>
    </row>
    <row r="46" spans="1:13">
      <c r="A46" s="5"/>
      <c r="B46" s="7"/>
      <c r="C46" s="19"/>
      <c r="D46" s="19"/>
      <c r="E46" s="19"/>
      <c r="F46" s="19"/>
      <c r="G46" s="7"/>
      <c r="H46" s="7"/>
      <c r="I46" s="7"/>
      <c r="J46" s="7"/>
      <c r="K46" s="7"/>
      <c r="L46" s="7"/>
      <c r="M46" s="7"/>
    </row>
    <row r="47" spans="1:13">
      <c r="A47" s="5"/>
      <c r="B47" s="7"/>
      <c r="C47" s="19"/>
      <c r="D47" s="19"/>
      <c r="E47" s="19"/>
      <c r="F47" s="19"/>
      <c r="G47" s="7"/>
      <c r="H47" s="7"/>
      <c r="I47" s="7"/>
      <c r="J47" s="7"/>
      <c r="K47" s="7"/>
      <c r="L47" s="7"/>
      <c r="M47" s="7"/>
    </row>
    <row r="48" spans="1:13">
      <c r="A48" s="5"/>
      <c r="B48" s="7"/>
      <c r="C48" s="19"/>
      <c r="D48" s="19"/>
      <c r="E48" s="19"/>
      <c r="F48" s="19"/>
      <c r="G48" s="7"/>
      <c r="H48" s="7"/>
      <c r="I48" s="7"/>
      <c r="J48" s="7"/>
      <c r="K48" s="7"/>
      <c r="L48" s="7"/>
      <c r="M48" s="7"/>
    </row>
    <row r="49" spans="1:13">
      <c r="A49" s="5"/>
      <c r="B49" s="7"/>
      <c r="C49" s="19"/>
      <c r="D49" s="19"/>
      <c r="E49" s="19"/>
      <c r="F49" s="19"/>
      <c r="G49" s="7"/>
      <c r="H49" s="7"/>
      <c r="I49" s="7"/>
      <c r="J49" s="7"/>
      <c r="K49" s="7"/>
      <c r="L49" s="7"/>
      <c r="M49" s="7"/>
    </row>
    <row r="50" spans="1:13">
      <c r="A50" s="5"/>
      <c r="B50" s="7"/>
      <c r="C50" s="19"/>
      <c r="D50" s="19"/>
      <c r="E50" s="19"/>
      <c r="F50" s="19"/>
      <c r="G50" s="7"/>
      <c r="H50" s="7"/>
      <c r="I50" s="7"/>
      <c r="J50" s="7"/>
      <c r="K50" s="7"/>
      <c r="L50" s="7"/>
      <c r="M50" s="7"/>
    </row>
    <row r="51" spans="1:13">
      <c r="A51" s="5"/>
      <c r="B51" s="7"/>
      <c r="C51" s="19"/>
      <c r="D51" s="19"/>
      <c r="E51" s="19"/>
      <c r="F51" s="19"/>
      <c r="G51" s="7"/>
      <c r="H51" s="7"/>
      <c r="I51" s="7"/>
      <c r="J51" s="7"/>
      <c r="K51" s="7"/>
      <c r="L51" s="7"/>
      <c r="M51" s="7"/>
    </row>
    <row r="52" spans="1:13">
      <c r="A52" s="5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</row>
    <row r="53" spans="1:13">
      <c r="A53" s="5"/>
      <c r="B53" s="7"/>
      <c r="C53" s="94" t="s">
        <v>580</v>
      </c>
      <c r="D53" s="87"/>
      <c r="E53" s="87"/>
      <c r="F53" s="87"/>
      <c r="G53" s="87"/>
      <c r="H53" s="87"/>
      <c r="I53" s="87"/>
      <c r="J53" s="87"/>
      <c r="K53" s="87"/>
      <c r="L53" s="7"/>
      <c r="M53" s="7"/>
    </row>
    <row r="54" spans="1:13">
      <c r="A54" s="5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</row>
    <row r="55" spans="1:13">
      <c r="A55" s="5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</row>
    <row r="56" spans="1:13">
      <c r="A56" s="5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</row>
    <row r="57" spans="1:13">
      <c r="A57" s="5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</row>
    <row r="58" spans="1:13">
      <c r="A58" s="5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</row>
  </sheetData>
  <mergeCells count="23">
    <mergeCell ref="C53:K53"/>
    <mergeCell ref="E8:F9"/>
    <mergeCell ref="D20:F20"/>
    <mergeCell ref="G8:H9"/>
    <mergeCell ref="D19:F19"/>
    <mergeCell ref="C42:K42"/>
    <mergeCell ref="H11:K11"/>
    <mergeCell ref="D22:F22"/>
    <mergeCell ref="C11:F11"/>
    <mergeCell ref="D21:F21"/>
    <mergeCell ref="C1:J1"/>
    <mergeCell ref="I7:J7"/>
    <mergeCell ref="D18:F18"/>
    <mergeCell ref="C2:J2"/>
    <mergeCell ref="C16:F16"/>
    <mergeCell ref="C7:D7"/>
    <mergeCell ref="E7:F7"/>
    <mergeCell ref="C5:H5"/>
    <mergeCell ref="D17:F17"/>
    <mergeCell ref="I8:J9"/>
    <mergeCell ref="C8:D9"/>
    <mergeCell ref="C27:K27"/>
    <mergeCell ref="G7:H7"/>
  </mergeCells>
  <pageMargins left="0.75" right="0.75" top="1" bottom="1" header="0.5" footer="0.5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7">
    <tabColor rgb="FFD4AF37"/>
  </sheetPr>
  <dimension ref="A1:M48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14" customWidth="1"/>
    <col min="4" max="6" width="12" customWidth="1"/>
    <col min="7" max="7" width="14" customWidth="1"/>
    <col min="8" max="11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581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16.05" customHeight="1">
      <c r="A7" s="17"/>
      <c r="B7" s="7"/>
      <c r="C7" s="130" t="s">
        <v>566</v>
      </c>
      <c r="D7" s="128"/>
      <c r="E7" s="130" t="s">
        <v>582</v>
      </c>
      <c r="F7" s="128"/>
      <c r="G7" s="130" t="s">
        <v>583</v>
      </c>
      <c r="H7" s="128"/>
      <c r="I7" s="130" t="s">
        <v>568</v>
      </c>
      <c r="J7" s="128"/>
      <c r="K7" s="7"/>
      <c r="L7" s="7"/>
      <c r="M7" s="7"/>
    </row>
    <row r="8" spans="1:13" ht="19.95" customHeight="1">
      <c r="A8" s="17"/>
      <c r="B8" s="7"/>
      <c r="C8" s="131">
        <v>0</v>
      </c>
      <c r="D8" s="128"/>
      <c r="E8" s="131">
        <v>0</v>
      </c>
      <c r="F8" s="128"/>
      <c r="G8" s="131" t="s">
        <v>584</v>
      </c>
      <c r="H8" s="128"/>
      <c r="I8" s="131">
        <v>0</v>
      </c>
      <c r="J8" s="128"/>
      <c r="K8" s="7"/>
      <c r="L8" s="7"/>
      <c r="M8" s="7"/>
    </row>
    <row r="9" spans="1:13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</row>
    <row r="10" spans="1:13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34.049999999999997" customHeight="1">
      <c r="A11" s="17"/>
      <c r="B11" s="7"/>
      <c r="C11" s="97" t="s">
        <v>585</v>
      </c>
      <c r="D11" s="87"/>
      <c r="E11" s="87"/>
      <c r="F11" s="7"/>
      <c r="G11" s="97" t="s">
        <v>586</v>
      </c>
      <c r="H11" s="87"/>
      <c r="I11" s="87"/>
      <c r="J11" s="87"/>
      <c r="K11" s="87"/>
      <c r="L11" s="7"/>
      <c r="M11" s="7"/>
    </row>
    <row r="12" spans="1:13" ht="34.049999999999997" customHeight="1">
      <c r="A12" s="17"/>
      <c r="B12" s="7"/>
      <c r="C12" s="18" t="s">
        <v>26</v>
      </c>
      <c r="D12" s="18" t="s">
        <v>16</v>
      </c>
      <c r="E12" s="18" t="s">
        <v>55</v>
      </c>
      <c r="F12" s="7"/>
      <c r="G12" s="18" t="s">
        <v>53</v>
      </c>
      <c r="H12" s="18" t="s">
        <v>177</v>
      </c>
      <c r="I12" s="18" t="s">
        <v>587</v>
      </c>
      <c r="J12" s="18" t="s">
        <v>55</v>
      </c>
      <c r="K12" s="7"/>
      <c r="L12" s="7"/>
      <c r="M12" s="7"/>
    </row>
    <row r="13" spans="1:13" ht="34.049999999999997" customHeight="1">
      <c r="A13" s="17"/>
      <c r="B13" s="7"/>
      <c r="C13" s="19"/>
      <c r="D13" s="19"/>
      <c r="E13" s="19"/>
      <c r="F13" s="7"/>
      <c r="G13" s="19"/>
      <c r="H13" s="19"/>
      <c r="I13" s="19"/>
      <c r="J13" s="19"/>
      <c r="K13" s="7"/>
      <c r="L13" s="7"/>
      <c r="M13" s="7"/>
    </row>
    <row r="14" spans="1:13" ht="34.049999999999997" customHeight="1">
      <c r="A14" s="17"/>
      <c r="B14" s="7"/>
      <c r="C14" s="19"/>
      <c r="D14" s="19"/>
      <c r="E14" s="19"/>
      <c r="F14" s="7"/>
      <c r="G14" s="19"/>
      <c r="H14" s="19"/>
      <c r="I14" s="19"/>
      <c r="J14" s="19"/>
      <c r="K14" s="7"/>
      <c r="L14" s="7"/>
      <c r="M14" s="7"/>
    </row>
    <row r="15" spans="1:13" ht="34.049999999999997" customHeight="1">
      <c r="A15" s="17"/>
      <c r="B15" s="7"/>
      <c r="C15" s="19"/>
      <c r="D15" s="19"/>
      <c r="E15" s="19"/>
      <c r="F15" s="7"/>
      <c r="G15" s="19"/>
      <c r="H15" s="19"/>
      <c r="I15" s="19"/>
      <c r="J15" s="19"/>
      <c r="K15" s="7"/>
      <c r="L15" s="7"/>
      <c r="M15" s="7"/>
    </row>
    <row r="16" spans="1:13" ht="34.049999999999997" customHeight="1">
      <c r="A16" s="17"/>
      <c r="B16" s="7"/>
      <c r="C16" s="19"/>
      <c r="D16" s="19"/>
      <c r="E16" s="19"/>
      <c r="F16" s="7"/>
      <c r="G16" s="19"/>
      <c r="H16" s="19"/>
      <c r="I16" s="19"/>
      <c r="J16" s="19"/>
      <c r="K16" s="7"/>
      <c r="L16" s="7"/>
      <c r="M16" s="7"/>
    </row>
    <row r="17" spans="1:13" ht="34.049999999999997" customHeight="1">
      <c r="A17" s="15"/>
      <c r="B17" s="7"/>
      <c r="C17" s="19"/>
      <c r="D17" s="19"/>
      <c r="E17" s="19"/>
      <c r="F17" s="7"/>
      <c r="G17" s="19"/>
      <c r="H17" s="19"/>
      <c r="I17" s="19"/>
      <c r="J17" s="19"/>
      <c r="K17" s="7"/>
      <c r="L17" s="7"/>
      <c r="M17" s="7"/>
    </row>
    <row r="18" spans="1:13" ht="34.049999999999997" customHeight="1">
      <c r="A18" s="17"/>
      <c r="B18" s="7"/>
      <c r="C18" s="19"/>
      <c r="D18" s="19"/>
      <c r="E18" s="19"/>
      <c r="F18" s="7"/>
      <c r="G18" s="19"/>
      <c r="H18" s="19"/>
      <c r="I18" s="19"/>
      <c r="J18" s="19"/>
      <c r="K18" s="7"/>
      <c r="L18" s="7"/>
      <c r="M18" s="7"/>
    </row>
    <row r="19" spans="1:13" ht="34.049999999999997" customHeight="1">
      <c r="A19" s="17"/>
      <c r="B19" s="7"/>
      <c r="C19" s="19"/>
      <c r="D19" s="19"/>
      <c r="E19" s="19"/>
      <c r="F19" s="7"/>
      <c r="G19" s="19"/>
      <c r="H19" s="19"/>
      <c r="I19" s="19"/>
      <c r="J19" s="19"/>
      <c r="K19" s="7"/>
      <c r="L19" s="7"/>
      <c r="M19" s="7"/>
    </row>
    <row r="20" spans="1:13" ht="34.049999999999997" customHeight="1">
      <c r="A20" s="17"/>
      <c r="B20" s="7"/>
      <c r="C20" s="19"/>
      <c r="D20" s="19"/>
      <c r="E20" s="19"/>
      <c r="F20" s="7"/>
      <c r="G20" s="19"/>
      <c r="H20" s="19"/>
      <c r="I20" s="19"/>
      <c r="J20" s="19"/>
      <c r="K20" s="7"/>
      <c r="L20" s="7"/>
      <c r="M20" s="7"/>
    </row>
    <row r="21" spans="1:13" ht="34.049999999999997" customHeight="1">
      <c r="A21" s="17"/>
      <c r="B21" s="7"/>
      <c r="C21" s="19"/>
      <c r="D21" s="19"/>
      <c r="E21" s="19"/>
      <c r="F21" s="7"/>
      <c r="G21" s="19"/>
      <c r="H21" s="19"/>
      <c r="I21" s="19"/>
      <c r="J21" s="19"/>
      <c r="K21" s="7"/>
      <c r="L21" s="7"/>
      <c r="M21" s="7"/>
    </row>
    <row r="22" spans="1:13" ht="34.049999999999997" customHeight="1">
      <c r="A22" s="17"/>
      <c r="B22" s="7"/>
      <c r="C22" s="19"/>
      <c r="D22" s="19"/>
      <c r="E22" s="19"/>
      <c r="F22" s="7"/>
      <c r="G22" s="19"/>
      <c r="H22" s="19"/>
      <c r="I22" s="19"/>
      <c r="J22" s="19"/>
      <c r="K22" s="7"/>
      <c r="L22" s="7"/>
      <c r="M22" s="7"/>
    </row>
    <row r="23" spans="1:13" ht="34.049999999999997" customHeight="1">
      <c r="A23" s="17"/>
      <c r="B23" s="7"/>
      <c r="C23" s="19"/>
      <c r="D23" s="19"/>
      <c r="E23" s="19"/>
      <c r="F23" s="7"/>
      <c r="G23" s="7"/>
      <c r="H23" s="7"/>
      <c r="I23" s="7"/>
      <c r="J23" s="7"/>
      <c r="K23" s="7"/>
      <c r="L23" s="7"/>
      <c r="M23" s="7"/>
    </row>
    <row r="24" spans="1:13">
      <c r="A24" s="5"/>
      <c r="B24" s="7"/>
      <c r="C24" s="19"/>
      <c r="D24" s="19"/>
      <c r="E24" s="19"/>
      <c r="F24" s="7"/>
      <c r="G24" s="7"/>
      <c r="H24" s="7"/>
      <c r="I24" s="7"/>
      <c r="J24" s="7"/>
      <c r="K24" s="7"/>
      <c r="L24" s="7"/>
      <c r="M24" s="7"/>
    </row>
    <row r="25" spans="1:13">
      <c r="A25" s="5"/>
      <c r="B25" s="7"/>
      <c r="C25" s="19"/>
      <c r="D25" s="19"/>
      <c r="E25" s="19"/>
      <c r="F25" s="7"/>
      <c r="G25" s="7"/>
      <c r="H25" s="7"/>
      <c r="I25" s="7"/>
      <c r="J25" s="7"/>
      <c r="K25" s="7"/>
      <c r="L25" s="7"/>
      <c r="M25" s="7"/>
    </row>
    <row r="26" spans="1:13">
      <c r="A26" s="5"/>
      <c r="B26" s="7"/>
      <c r="C26" s="19"/>
      <c r="D26" s="19"/>
      <c r="E26" s="19"/>
      <c r="F26" s="7"/>
      <c r="G26" s="7"/>
      <c r="H26" s="7"/>
      <c r="I26" s="7"/>
      <c r="J26" s="7"/>
      <c r="K26" s="7"/>
      <c r="L26" s="7"/>
      <c r="M26" s="7"/>
    </row>
    <row r="27" spans="1:13">
      <c r="A27" s="5"/>
      <c r="B27" s="7"/>
      <c r="C27" s="19"/>
      <c r="D27" s="19"/>
      <c r="E27" s="19"/>
      <c r="F27" s="7"/>
      <c r="G27" s="7"/>
      <c r="H27" s="7"/>
      <c r="I27" s="7"/>
      <c r="J27" s="7"/>
      <c r="K27" s="7"/>
      <c r="L27" s="7"/>
      <c r="M27" s="7"/>
    </row>
    <row r="28" spans="1:13">
      <c r="A28" s="5"/>
      <c r="B28" s="7"/>
      <c r="C28" s="19"/>
      <c r="D28" s="19"/>
      <c r="E28" s="19"/>
      <c r="F28" s="7"/>
      <c r="G28" s="7"/>
      <c r="H28" s="7"/>
      <c r="I28" s="7"/>
      <c r="J28" s="7"/>
      <c r="K28" s="7"/>
      <c r="L28" s="7"/>
      <c r="M28" s="7"/>
    </row>
    <row r="29" spans="1:13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</row>
    <row r="30" spans="1:13" ht="18">
      <c r="A30" s="5"/>
      <c r="B30" s="7"/>
      <c r="C30" s="97" t="s">
        <v>588</v>
      </c>
      <c r="D30" s="87"/>
      <c r="E30" s="87"/>
      <c r="F30" s="7"/>
      <c r="G30" s="97" t="s">
        <v>589</v>
      </c>
      <c r="H30" s="87"/>
      <c r="I30" s="87"/>
      <c r="J30" s="87"/>
      <c r="K30" s="87"/>
      <c r="L30" s="7"/>
      <c r="M30" s="7"/>
    </row>
    <row r="31" spans="1:13" ht="15.6">
      <c r="A31" s="5"/>
      <c r="B31" s="7"/>
      <c r="C31" s="19" t="s">
        <v>590</v>
      </c>
      <c r="D31" s="21">
        <v>0</v>
      </c>
      <c r="E31" s="7"/>
      <c r="F31" s="7"/>
      <c r="G31" s="18" t="s">
        <v>591</v>
      </c>
      <c r="H31" s="18" t="s">
        <v>218</v>
      </c>
      <c r="I31" s="7"/>
      <c r="J31" s="7"/>
      <c r="K31" s="7"/>
      <c r="L31" s="7"/>
      <c r="M31" s="7"/>
    </row>
    <row r="32" spans="1:13" ht="15.6">
      <c r="A32" s="5"/>
      <c r="B32" s="7"/>
      <c r="C32" s="19" t="s">
        <v>592</v>
      </c>
      <c r="D32" s="21">
        <v>0</v>
      </c>
      <c r="E32" s="7"/>
      <c r="F32" s="7"/>
      <c r="G32" s="19"/>
      <c r="H32" s="19"/>
      <c r="I32" s="7"/>
      <c r="J32" s="7"/>
      <c r="K32" s="7"/>
      <c r="L32" s="7"/>
      <c r="M32" s="7"/>
    </row>
    <row r="33" spans="1:13" ht="15.6">
      <c r="A33" s="5"/>
      <c r="B33" s="7"/>
      <c r="C33" s="19" t="s">
        <v>593</v>
      </c>
      <c r="D33" s="21">
        <v>0</v>
      </c>
      <c r="E33" s="7"/>
      <c r="F33" s="7"/>
      <c r="G33" s="19"/>
      <c r="H33" s="19"/>
      <c r="I33" s="7"/>
      <c r="J33" s="7"/>
      <c r="K33" s="7"/>
      <c r="L33" s="7"/>
      <c r="M33" s="7"/>
    </row>
    <row r="34" spans="1:13" ht="15.6">
      <c r="A34" s="5"/>
      <c r="B34" s="7"/>
      <c r="C34" s="19" t="s">
        <v>594</v>
      </c>
      <c r="D34" s="21" t="s">
        <v>584</v>
      </c>
      <c r="E34" s="7"/>
      <c r="F34" s="7"/>
      <c r="G34" s="19"/>
      <c r="H34" s="19"/>
      <c r="I34" s="7"/>
      <c r="J34" s="7"/>
      <c r="K34" s="7"/>
      <c r="L34" s="7"/>
      <c r="M34" s="7"/>
    </row>
    <row r="35" spans="1:13">
      <c r="A35" s="5"/>
      <c r="B35" s="7"/>
      <c r="C35" s="7"/>
      <c r="D35" s="7"/>
      <c r="E35" s="7"/>
      <c r="F35" s="7"/>
      <c r="G35" s="19"/>
      <c r="H35" s="19"/>
      <c r="I35" s="7"/>
      <c r="J35" s="7"/>
      <c r="K35" s="7"/>
      <c r="L35" s="7"/>
      <c r="M35" s="7"/>
    </row>
    <row r="36" spans="1:13">
      <c r="A36" s="5"/>
      <c r="B36" s="7"/>
      <c r="C36" s="7"/>
      <c r="D36" s="7"/>
      <c r="E36" s="7"/>
      <c r="F36" s="7"/>
      <c r="G36" s="19"/>
      <c r="H36" s="19"/>
      <c r="I36" s="7"/>
      <c r="J36" s="7"/>
      <c r="K36" s="7"/>
      <c r="L36" s="7"/>
      <c r="M36" s="7"/>
    </row>
    <row r="37" spans="1:13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1" spans="1:13">
      <c r="A41" s="5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</row>
    <row r="42" spans="1:13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  <row r="43" spans="1:13">
      <c r="A43" s="5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spans="1:13">
      <c r="A44" s="5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</row>
    <row r="45" spans="1:13">
      <c r="A45" s="5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</row>
    <row r="46" spans="1:13">
      <c r="A46" s="5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</row>
    <row r="47" spans="1:13">
      <c r="A47" s="5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</row>
    <row r="48" spans="1:13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</row>
  </sheetData>
  <mergeCells count="15">
    <mergeCell ref="C1:J1"/>
    <mergeCell ref="C5:H5"/>
    <mergeCell ref="I7:J7"/>
    <mergeCell ref="C2:J2"/>
    <mergeCell ref="G11:K11"/>
    <mergeCell ref="E8:F9"/>
    <mergeCell ref="I8:J9"/>
    <mergeCell ref="G8:H9"/>
    <mergeCell ref="C8:D9"/>
    <mergeCell ref="C30:E30"/>
    <mergeCell ref="C11:E11"/>
    <mergeCell ref="G30:K30"/>
    <mergeCell ref="C7:D7"/>
    <mergeCell ref="G7:H7"/>
    <mergeCell ref="E7:F7"/>
  </mergeCells>
  <pageMargins left="0.75" right="0.75" top="1" bottom="1" header="0.5" footer="0.5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8">
    <tabColor rgb="FFD4AF37"/>
  </sheetPr>
  <dimension ref="A1:M52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14" customWidth="1"/>
    <col min="4" max="4" width="16" customWidth="1"/>
    <col min="5" max="11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595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16.05" customHeight="1">
      <c r="A7" s="17"/>
      <c r="B7" s="7"/>
      <c r="C7" s="130" t="s">
        <v>596</v>
      </c>
      <c r="D7" s="128"/>
      <c r="E7" s="130" t="s">
        <v>597</v>
      </c>
      <c r="F7" s="128"/>
      <c r="G7" s="130" t="s">
        <v>598</v>
      </c>
      <c r="H7" s="128"/>
      <c r="I7" s="130" t="s">
        <v>599</v>
      </c>
      <c r="J7" s="128"/>
      <c r="K7" s="7"/>
      <c r="L7" s="7"/>
      <c r="M7" s="7"/>
    </row>
    <row r="8" spans="1:13" ht="19.95" customHeight="1">
      <c r="A8" s="17"/>
      <c r="B8" s="7"/>
      <c r="C8" s="131" t="s">
        <v>600</v>
      </c>
      <c r="D8" s="128"/>
      <c r="E8" s="131">
        <v>0</v>
      </c>
      <c r="F8" s="128"/>
      <c r="G8" s="131" t="s">
        <v>600</v>
      </c>
      <c r="H8" s="128"/>
      <c r="I8" s="131" t="s">
        <v>600</v>
      </c>
      <c r="J8" s="128"/>
      <c r="K8" s="7"/>
      <c r="L8" s="7"/>
      <c r="M8" s="7"/>
    </row>
    <row r="9" spans="1:13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</row>
    <row r="10" spans="1:13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34.049999999999997" customHeight="1">
      <c r="A11" s="17"/>
      <c r="B11" s="7"/>
      <c r="C11" s="97" t="s">
        <v>601</v>
      </c>
      <c r="D11" s="87"/>
      <c r="E11" s="87"/>
      <c r="F11" s="87"/>
      <c r="G11" s="7"/>
      <c r="H11" s="97" t="s">
        <v>602</v>
      </c>
      <c r="I11" s="87"/>
      <c r="J11" s="87"/>
      <c r="K11" s="87"/>
      <c r="L11" s="7"/>
      <c r="M11" s="7"/>
    </row>
    <row r="12" spans="1:13" ht="34.049999999999997" customHeight="1">
      <c r="A12" s="17"/>
      <c r="B12" s="7"/>
      <c r="C12" s="66" t="s">
        <v>603</v>
      </c>
      <c r="D12" s="133" t="s">
        <v>604</v>
      </c>
      <c r="E12" s="87"/>
      <c r="F12" s="87"/>
      <c r="G12" s="7"/>
      <c r="H12" s="138">
        <v>0</v>
      </c>
      <c r="I12" s="87"/>
      <c r="J12" s="87"/>
      <c r="K12" s="87"/>
      <c r="L12" s="7"/>
      <c r="M12" s="7"/>
    </row>
    <row r="13" spans="1:13" ht="34.049999999999997" customHeight="1">
      <c r="A13" s="17"/>
      <c r="B13" s="7"/>
      <c r="C13" s="66" t="s">
        <v>73</v>
      </c>
      <c r="D13" s="133"/>
      <c r="E13" s="87"/>
      <c r="F13" s="87"/>
      <c r="G13" s="7"/>
      <c r="H13" s="87"/>
      <c r="I13" s="87"/>
      <c r="J13" s="87"/>
      <c r="K13" s="87"/>
      <c r="L13" s="7"/>
      <c r="M13" s="7"/>
    </row>
    <row r="14" spans="1:13" ht="34.049999999999997" customHeight="1">
      <c r="A14" s="17"/>
      <c r="B14" s="7"/>
      <c r="C14" s="66" t="s">
        <v>605</v>
      </c>
      <c r="D14" s="133"/>
      <c r="E14" s="87"/>
      <c r="F14" s="87"/>
      <c r="G14" s="7"/>
      <c r="H14" s="87"/>
      <c r="I14" s="87"/>
      <c r="J14" s="87"/>
      <c r="K14" s="87"/>
      <c r="L14" s="7"/>
      <c r="M14" s="7"/>
    </row>
    <row r="15" spans="1:13" ht="34.049999999999997" customHeight="1">
      <c r="A15" s="17"/>
      <c r="B15" s="7"/>
      <c r="C15" s="66" t="s">
        <v>282</v>
      </c>
      <c r="D15" s="133"/>
      <c r="E15" s="87"/>
      <c r="F15" s="87"/>
      <c r="G15" s="7"/>
      <c r="H15" s="7" t="s">
        <v>606</v>
      </c>
      <c r="I15" s="7"/>
      <c r="J15" s="7"/>
      <c r="K15" s="7"/>
      <c r="L15" s="7"/>
      <c r="M15" s="7"/>
    </row>
    <row r="16" spans="1:13" ht="34.049999999999997" customHeight="1">
      <c r="A16" s="17"/>
      <c r="B16" s="7"/>
      <c r="C16" s="66" t="s">
        <v>607</v>
      </c>
      <c r="D16" s="133"/>
      <c r="E16" s="87"/>
      <c r="F16" s="87"/>
      <c r="G16" s="7"/>
      <c r="H16" s="68">
        <v>0</v>
      </c>
      <c r="I16" s="7"/>
      <c r="J16" s="7"/>
      <c r="K16" s="7"/>
      <c r="L16" s="7"/>
      <c r="M16" s="7"/>
    </row>
    <row r="17" spans="1:13" ht="34.049999999999997" customHeight="1">
      <c r="A17" s="17"/>
      <c r="B17" s="7"/>
      <c r="C17" s="66" t="s">
        <v>295</v>
      </c>
      <c r="D17" s="133">
        <v>1</v>
      </c>
      <c r="E17" s="87"/>
      <c r="F17" s="87"/>
      <c r="G17" s="7"/>
      <c r="H17" s="7"/>
      <c r="I17" s="7"/>
      <c r="J17" s="7"/>
      <c r="K17" s="7"/>
      <c r="L17" s="7"/>
      <c r="M17" s="7"/>
    </row>
    <row r="18" spans="1:13" ht="34.049999999999997" customHeight="1">
      <c r="A18" s="15"/>
      <c r="B18" s="7"/>
      <c r="C18" s="66" t="s">
        <v>183</v>
      </c>
      <c r="D18" s="133" t="s">
        <v>79</v>
      </c>
      <c r="E18" s="87"/>
      <c r="F18" s="87"/>
      <c r="G18" s="7"/>
      <c r="H18" s="7"/>
      <c r="I18" s="7"/>
      <c r="J18" s="7"/>
      <c r="K18" s="7"/>
      <c r="L18" s="7"/>
      <c r="M18" s="7"/>
    </row>
    <row r="19" spans="1:13" ht="34.049999999999997" customHeight="1">
      <c r="A19" s="17"/>
      <c r="B19" s="7"/>
      <c r="C19" s="66" t="s">
        <v>608</v>
      </c>
      <c r="D19" s="133"/>
      <c r="E19" s="87"/>
      <c r="F19" s="87"/>
      <c r="G19" s="7"/>
      <c r="H19" s="7"/>
      <c r="I19" s="7"/>
      <c r="J19" s="7"/>
      <c r="K19" s="7"/>
      <c r="L19" s="7"/>
      <c r="M19" s="7"/>
    </row>
    <row r="20" spans="1:13" ht="34.049999999999997" customHeight="1">
      <c r="A20" s="1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ht="36" customHeight="1">
      <c r="A21" s="1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36" customHeight="1">
      <c r="A22" s="1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34.049999999999997" customHeight="1">
      <c r="A23" s="1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18">
      <c r="A24" s="5"/>
      <c r="B24" s="7"/>
      <c r="C24" s="97" t="s">
        <v>609</v>
      </c>
      <c r="D24" s="87"/>
      <c r="E24" s="87"/>
      <c r="F24" s="87"/>
      <c r="G24" s="87"/>
      <c r="H24" s="87"/>
      <c r="I24" s="87"/>
      <c r="J24" s="87"/>
      <c r="K24" s="87"/>
      <c r="L24" s="7"/>
      <c r="M24" s="7"/>
    </row>
    <row r="25" spans="1:13">
      <c r="A25" s="5"/>
      <c r="B25" s="7"/>
      <c r="C25" s="18" t="s">
        <v>178</v>
      </c>
      <c r="D25" s="18" t="s">
        <v>282</v>
      </c>
      <c r="E25" s="18" t="s">
        <v>610</v>
      </c>
      <c r="F25" s="18" t="s">
        <v>607</v>
      </c>
      <c r="G25" s="18" t="s">
        <v>611</v>
      </c>
      <c r="H25" s="18"/>
      <c r="I25" s="7"/>
      <c r="J25" s="7"/>
      <c r="K25" s="7"/>
      <c r="L25" s="7"/>
      <c r="M25" s="7"/>
    </row>
    <row r="26" spans="1:13">
      <c r="A26" s="5"/>
      <c r="B26" s="7"/>
      <c r="C26" s="19"/>
      <c r="D26" s="19"/>
      <c r="E26" s="19"/>
      <c r="F26" s="19"/>
      <c r="G26" s="19"/>
      <c r="H26" s="19"/>
      <c r="I26" s="7"/>
      <c r="J26" s="7"/>
      <c r="K26" s="7"/>
      <c r="L26" s="7"/>
      <c r="M26" s="7"/>
    </row>
    <row r="27" spans="1:13">
      <c r="A27" s="5"/>
      <c r="B27" s="7"/>
      <c r="C27" s="19"/>
      <c r="D27" s="19"/>
      <c r="E27" s="19"/>
      <c r="F27" s="19"/>
      <c r="G27" s="19"/>
      <c r="H27" s="19"/>
      <c r="I27" s="7"/>
      <c r="J27" s="7"/>
      <c r="K27" s="7"/>
      <c r="L27" s="7"/>
      <c r="M27" s="7"/>
    </row>
    <row r="28" spans="1:13">
      <c r="A28" s="5"/>
      <c r="B28" s="7"/>
      <c r="C28" s="19"/>
      <c r="D28" s="19"/>
      <c r="E28" s="19"/>
      <c r="F28" s="19"/>
      <c r="G28" s="19"/>
      <c r="H28" s="19"/>
      <c r="I28" s="7"/>
      <c r="J28" s="7"/>
      <c r="K28" s="7"/>
      <c r="L28" s="7"/>
      <c r="M28" s="7"/>
    </row>
    <row r="29" spans="1:13">
      <c r="A29" s="5"/>
      <c r="B29" s="7"/>
      <c r="C29" s="19"/>
      <c r="D29" s="19"/>
      <c r="E29" s="19"/>
      <c r="F29" s="19"/>
      <c r="G29" s="19"/>
      <c r="H29" s="19"/>
      <c r="I29" s="7"/>
      <c r="J29" s="7"/>
      <c r="K29" s="7"/>
      <c r="L29" s="7"/>
      <c r="M29" s="7"/>
    </row>
    <row r="30" spans="1:13">
      <c r="A30" s="5"/>
      <c r="B30" s="7"/>
      <c r="C30" s="19"/>
      <c r="D30" s="19"/>
      <c r="E30" s="19"/>
      <c r="F30" s="19"/>
      <c r="G30" s="19"/>
      <c r="H30" s="19"/>
      <c r="I30" s="7"/>
      <c r="J30" s="7"/>
      <c r="K30" s="7"/>
      <c r="L30" s="7"/>
      <c r="M30" s="7"/>
    </row>
    <row r="31" spans="1:13">
      <c r="A31" s="5"/>
      <c r="B31" s="7"/>
      <c r="C31" s="19"/>
      <c r="D31" s="19"/>
      <c r="E31" s="19"/>
      <c r="F31" s="19"/>
      <c r="G31" s="19"/>
      <c r="H31" s="19"/>
      <c r="I31" s="7"/>
      <c r="J31" s="7"/>
      <c r="K31" s="7"/>
      <c r="L31" s="7"/>
      <c r="M31" s="7"/>
    </row>
    <row r="32" spans="1:13">
      <c r="A32" s="5"/>
      <c r="B32" s="7"/>
      <c r="C32" s="19"/>
      <c r="D32" s="19"/>
      <c r="E32" s="19"/>
      <c r="F32" s="19"/>
      <c r="G32" s="19"/>
      <c r="H32" s="19"/>
      <c r="I32" s="7"/>
      <c r="J32" s="7"/>
      <c r="K32" s="7"/>
      <c r="L32" s="7"/>
      <c r="M32" s="7"/>
    </row>
    <row r="33" spans="1:13">
      <c r="A33" s="5"/>
      <c r="B33" s="7"/>
      <c r="C33" s="19"/>
      <c r="D33" s="19"/>
      <c r="E33" s="19"/>
      <c r="F33" s="19"/>
      <c r="G33" s="19"/>
      <c r="H33" s="19"/>
      <c r="I33" s="7"/>
      <c r="J33" s="7"/>
      <c r="K33" s="7"/>
      <c r="L33" s="7"/>
      <c r="M33" s="7"/>
    </row>
    <row r="34" spans="1:13">
      <c r="A34" s="5"/>
      <c r="B34" s="7"/>
      <c r="C34" s="19"/>
      <c r="D34" s="19"/>
      <c r="E34" s="19"/>
      <c r="F34" s="19"/>
      <c r="G34" s="19"/>
      <c r="H34" s="19"/>
      <c r="I34" s="7"/>
      <c r="J34" s="7"/>
      <c r="K34" s="7"/>
      <c r="L34" s="7"/>
      <c r="M34" s="7"/>
    </row>
    <row r="35" spans="1:13">
      <c r="A35" s="5"/>
      <c r="B35" s="7"/>
      <c r="C35" s="19"/>
      <c r="D35" s="19"/>
      <c r="E35" s="19"/>
      <c r="F35" s="19"/>
      <c r="G35" s="19"/>
      <c r="H35" s="19"/>
      <c r="I35" s="7"/>
      <c r="J35" s="7"/>
      <c r="K35" s="7"/>
      <c r="L35" s="7"/>
      <c r="M35" s="7"/>
    </row>
    <row r="36" spans="1:13">
      <c r="A36" s="5"/>
      <c r="B36" s="7"/>
      <c r="C36" s="19"/>
      <c r="D36" s="19"/>
      <c r="E36" s="19"/>
      <c r="F36" s="19"/>
      <c r="G36" s="19"/>
      <c r="H36" s="19"/>
      <c r="I36" s="7"/>
      <c r="J36" s="7"/>
      <c r="K36" s="7"/>
      <c r="L36" s="7"/>
      <c r="M36" s="7"/>
    </row>
    <row r="37" spans="1:13">
      <c r="A37" s="5"/>
      <c r="B37" s="7"/>
      <c r="C37" s="19"/>
      <c r="D37" s="19"/>
      <c r="E37" s="19"/>
      <c r="F37" s="19"/>
      <c r="G37" s="19"/>
      <c r="H37" s="19"/>
      <c r="I37" s="7"/>
      <c r="J37" s="7"/>
      <c r="K37" s="7"/>
      <c r="L37" s="7"/>
      <c r="M37" s="7"/>
    </row>
    <row r="38" spans="1:13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 ht="18">
      <c r="A40" s="5"/>
      <c r="B40" s="7"/>
      <c r="C40" s="97" t="s">
        <v>612</v>
      </c>
      <c r="D40" s="87"/>
      <c r="E40" s="87"/>
      <c r="F40" s="87"/>
      <c r="G40" s="87"/>
      <c r="H40" s="87"/>
      <c r="I40" s="87"/>
      <c r="J40" s="87"/>
      <c r="K40" s="87"/>
      <c r="L40" s="7"/>
      <c r="M40" s="7"/>
    </row>
    <row r="41" spans="1:13">
      <c r="A41" s="5"/>
      <c r="B41" s="7"/>
      <c r="C41" s="18" t="s">
        <v>70</v>
      </c>
      <c r="D41" s="18" t="s">
        <v>26</v>
      </c>
      <c r="E41" s="18" t="s">
        <v>613</v>
      </c>
      <c r="F41" s="18" t="s">
        <v>614</v>
      </c>
      <c r="G41" s="18" t="s">
        <v>200</v>
      </c>
      <c r="H41" s="18" t="s">
        <v>106</v>
      </c>
      <c r="I41" s="7"/>
      <c r="J41" s="7"/>
      <c r="K41" s="7"/>
      <c r="L41" s="7"/>
      <c r="M41" s="7"/>
    </row>
    <row r="42" spans="1:13">
      <c r="A42" s="5"/>
      <c r="B42" s="7"/>
      <c r="C42" s="19"/>
      <c r="D42" s="19"/>
      <c r="E42" s="19"/>
      <c r="F42" s="19"/>
      <c r="G42" s="19"/>
      <c r="H42" s="19"/>
      <c r="I42" s="7"/>
      <c r="J42" s="7"/>
      <c r="K42" s="7"/>
      <c r="L42" s="7"/>
      <c r="M42" s="7"/>
    </row>
    <row r="43" spans="1:13">
      <c r="A43" s="5"/>
      <c r="B43" s="7"/>
      <c r="C43" s="19"/>
      <c r="D43" s="19"/>
      <c r="E43" s="19"/>
      <c r="F43" s="19"/>
      <c r="G43" s="19"/>
      <c r="H43" s="19"/>
      <c r="I43" s="7"/>
      <c r="J43" s="7"/>
      <c r="K43" s="7"/>
      <c r="L43" s="7"/>
      <c r="M43" s="7"/>
    </row>
    <row r="44" spans="1:13">
      <c r="A44" s="5"/>
      <c r="B44" s="7"/>
      <c r="C44" s="19"/>
      <c r="D44" s="19"/>
      <c r="E44" s="19"/>
      <c r="F44" s="19"/>
      <c r="G44" s="19"/>
      <c r="H44" s="19"/>
      <c r="I44" s="7"/>
      <c r="J44" s="7"/>
      <c r="K44" s="7"/>
      <c r="L44" s="7"/>
      <c r="M44" s="7"/>
    </row>
    <row r="45" spans="1:13">
      <c r="A45" s="5"/>
      <c r="B45" s="7"/>
      <c r="C45" s="19"/>
      <c r="D45" s="19"/>
      <c r="E45" s="19"/>
      <c r="F45" s="19"/>
      <c r="G45" s="19"/>
      <c r="H45" s="19"/>
      <c r="I45" s="7"/>
      <c r="J45" s="7"/>
      <c r="K45" s="7"/>
      <c r="L45" s="7"/>
      <c r="M45" s="7"/>
    </row>
    <row r="46" spans="1:13">
      <c r="A46" s="5"/>
      <c r="B46" s="7"/>
      <c r="C46" s="19"/>
      <c r="D46" s="19"/>
      <c r="E46" s="19"/>
      <c r="F46" s="19"/>
      <c r="G46" s="19"/>
      <c r="H46" s="19"/>
      <c r="I46" s="7"/>
      <c r="J46" s="7"/>
      <c r="K46" s="7"/>
      <c r="L46" s="7"/>
      <c r="M46" s="7"/>
    </row>
    <row r="47" spans="1:13">
      <c r="A47" s="5"/>
      <c r="B47" s="7"/>
      <c r="C47" s="19"/>
      <c r="D47" s="19"/>
      <c r="E47" s="19"/>
      <c r="F47" s="19"/>
      <c r="G47" s="19"/>
      <c r="H47" s="19"/>
      <c r="I47" s="7"/>
      <c r="J47" s="7"/>
      <c r="K47" s="7"/>
      <c r="L47" s="7"/>
      <c r="M47" s="7"/>
    </row>
    <row r="48" spans="1:13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</row>
    <row r="49" spans="1:13">
      <c r="A49" s="5"/>
      <c r="B49" s="7"/>
      <c r="C49" s="94" t="s">
        <v>615</v>
      </c>
      <c r="D49" s="87"/>
      <c r="E49" s="87"/>
      <c r="F49" s="87"/>
      <c r="G49" s="87"/>
      <c r="H49" s="87"/>
      <c r="I49" s="87"/>
      <c r="J49" s="87"/>
      <c r="K49" s="87"/>
      <c r="L49" s="7"/>
      <c r="M49" s="7"/>
    </row>
    <row r="50" spans="1:13">
      <c r="A50" s="5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</row>
    <row r="51" spans="1:13">
      <c r="A51" s="5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</row>
    <row r="52" spans="1:13">
      <c r="A52" s="5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</row>
  </sheetData>
  <mergeCells count="25">
    <mergeCell ref="C49:K49"/>
    <mergeCell ref="G8:H9"/>
    <mergeCell ref="C24:K24"/>
    <mergeCell ref="D19:F19"/>
    <mergeCell ref="C7:D7"/>
    <mergeCell ref="E7:F7"/>
    <mergeCell ref="H11:K11"/>
    <mergeCell ref="C11:F11"/>
    <mergeCell ref="G7:H7"/>
    <mergeCell ref="C1:J1"/>
    <mergeCell ref="I7:J7"/>
    <mergeCell ref="D12:F12"/>
    <mergeCell ref="D18:F18"/>
    <mergeCell ref="D15:F15"/>
    <mergeCell ref="D14:F14"/>
    <mergeCell ref="C2:J2"/>
    <mergeCell ref="E8:F9"/>
    <mergeCell ref="C5:H5"/>
    <mergeCell ref="D13:F13"/>
    <mergeCell ref="C40:K40"/>
    <mergeCell ref="D17:F17"/>
    <mergeCell ref="I8:J9"/>
    <mergeCell ref="D16:F16"/>
    <mergeCell ref="C8:D9"/>
    <mergeCell ref="H12:K14"/>
  </mergeCells>
  <pageMargins left="0.75" right="0.75" top="1" bottom="1" header="0.5" footer="0.5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29">
    <tabColor rgb="FFD4AF37"/>
  </sheetPr>
  <dimension ref="A1:M42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12" customWidth="1"/>
    <col min="4" max="4" width="22" customWidth="1"/>
    <col min="5" max="7" width="10" customWidth="1"/>
    <col min="8" max="8" width="18" customWidth="1"/>
    <col min="9" max="10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616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16.05" customHeight="1">
      <c r="A7" s="17"/>
      <c r="B7" s="7"/>
      <c r="C7" s="130" t="s">
        <v>597</v>
      </c>
      <c r="D7" s="128"/>
      <c r="E7" s="130" t="s">
        <v>617</v>
      </c>
      <c r="F7" s="128"/>
      <c r="G7" s="130" t="s">
        <v>618</v>
      </c>
      <c r="H7" s="128"/>
      <c r="I7" s="7"/>
      <c r="J7" s="7"/>
      <c r="K7" s="7"/>
      <c r="L7" s="7"/>
      <c r="M7" s="7"/>
    </row>
    <row r="8" spans="1:13" ht="19.95" customHeight="1">
      <c r="A8" s="17"/>
      <c r="B8" s="7"/>
      <c r="C8" s="131">
        <v>0</v>
      </c>
      <c r="D8" s="128"/>
      <c r="E8" s="131">
        <v>0</v>
      </c>
      <c r="F8" s="128"/>
      <c r="G8" s="131">
        <v>0</v>
      </c>
      <c r="H8" s="128"/>
      <c r="I8" s="7"/>
      <c r="J8" s="7"/>
      <c r="K8" s="7"/>
      <c r="L8" s="7"/>
      <c r="M8" s="7"/>
    </row>
    <row r="9" spans="1:13" ht="16.05" customHeight="1">
      <c r="A9" s="17"/>
      <c r="B9" s="7"/>
      <c r="C9" s="128"/>
      <c r="D9" s="128"/>
      <c r="E9" s="128"/>
      <c r="F9" s="128"/>
      <c r="G9" s="128"/>
      <c r="H9" s="128"/>
      <c r="I9" s="7"/>
      <c r="J9" s="7"/>
      <c r="K9" s="7"/>
      <c r="L9" s="7"/>
      <c r="M9" s="7"/>
    </row>
    <row r="10" spans="1:13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34.049999999999997" customHeight="1">
      <c r="A11" s="17"/>
      <c r="B11" s="7"/>
      <c r="C11" s="97" t="s">
        <v>619</v>
      </c>
      <c r="D11" s="87"/>
      <c r="E11" s="87"/>
      <c r="F11" s="87"/>
      <c r="G11" s="87"/>
      <c r="H11" s="87"/>
      <c r="I11" s="87"/>
      <c r="J11" s="7"/>
      <c r="K11" s="7"/>
      <c r="L11" s="7"/>
      <c r="M11" s="7"/>
    </row>
    <row r="12" spans="1:13" ht="34.049999999999997" customHeight="1">
      <c r="A12" s="17"/>
      <c r="B12" s="7"/>
      <c r="C12" s="18" t="s">
        <v>178</v>
      </c>
      <c r="D12" s="18" t="s">
        <v>282</v>
      </c>
      <c r="E12" s="18" t="s">
        <v>620</v>
      </c>
      <c r="F12" s="18" t="s">
        <v>621</v>
      </c>
      <c r="G12" s="18" t="s">
        <v>622</v>
      </c>
      <c r="H12" s="18" t="s">
        <v>223</v>
      </c>
      <c r="I12" s="7"/>
      <c r="J12" s="7"/>
      <c r="K12" s="7"/>
      <c r="L12" s="7"/>
      <c r="M12" s="7"/>
    </row>
    <row r="13" spans="1:13" ht="34.049999999999997" customHeight="1">
      <c r="A13" s="17"/>
      <c r="B13" s="7"/>
      <c r="C13" s="19"/>
      <c r="D13" s="19"/>
      <c r="E13" s="19"/>
      <c r="F13" s="19"/>
      <c r="G13" s="19"/>
      <c r="H13" s="19"/>
      <c r="I13" s="7"/>
      <c r="J13" s="7"/>
      <c r="K13" s="7"/>
      <c r="L13" s="7"/>
      <c r="M13" s="7"/>
    </row>
    <row r="14" spans="1:13" ht="34.049999999999997" customHeight="1">
      <c r="A14" s="17"/>
      <c r="B14" s="7"/>
      <c r="C14" s="19"/>
      <c r="D14" s="19"/>
      <c r="E14" s="19"/>
      <c r="F14" s="19"/>
      <c r="G14" s="19"/>
      <c r="H14" s="19"/>
      <c r="I14" s="7"/>
      <c r="J14" s="7"/>
      <c r="K14" s="7"/>
      <c r="L14" s="7"/>
      <c r="M14" s="7"/>
    </row>
    <row r="15" spans="1:13" ht="34.049999999999997" customHeight="1">
      <c r="A15" s="17"/>
      <c r="B15" s="7"/>
      <c r="C15" s="19"/>
      <c r="D15" s="19"/>
      <c r="E15" s="19"/>
      <c r="F15" s="19"/>
      <c r="G15" s="19"/>
      <c r="H15" s="19"/>
      <c r="I15" s="7"/>
      <c r="J15" s="7"/>
      <c r="K15" s="7"/>
      <c r="L15" s="7"/>
      <c r="M15" s="7"/>
    </row>
    <row r="16" spans="1:13" ht="34.049999999999997" customHeight="1">
      <c r="A16" s="17"/>
      <c r="B16" s="7"/>
      <c r="C16" s="19"/>
      <c r="D16" s="19"/>
      <c r="E16" s="19"/>
      <c r="F16" s="19"/>
      <c r="G16" s="19"/>
      <c r="H16" s="19"/>
      <c r="I16" s="7"/>
      <c r="J16" s="7"/>
      <c r="K16" s="7"/>
      <c r="L16" s="7"/>
      <c r="M16" s="7"/>
    </row>
    <row r="17" spans="1:13" ht="34.049999999999997" customHeight="1">
      <c r="A17" s="17"/>
      <c r="B17" s="7"/>
      <c r="C17" s="19"/>
      <c r="D17" s="19"/>
      <c r="E17" s="19"/>
      <c r="F17" s="19"/>
      <c r="G17" s="19"/>
      <c r="H17" s="19"/>
      <c r="I17" s="7"/>
      <c r="J17" s="7"/>
      <c r="K17" s="7"/>
      <c r="L17" s="7"/>
      <c r="M17" s="7"/>
    </row>
    <row r="18" spans="1:13" ht="34.049999999999997" customHeight="1">
      <c r="A18" s="17"/>
      <c r="B18" s="7"/>
      <c r="C18" s="19"/>
      <c r="D18" s="19"/>
      <c r="E18" s="19"/>
      <c r="F18" s="19"/>
      <c r="G18" s="19"/>
      <c r="H18" s="19"/>
      <c r="I18" s="7"/>
      <c r="J18" s="7"/>
      <c r="K18" s="7"/>
      <c r="L18" s="7"/>
      <c r="M18" s="7"/>
    </row>
    <row r="19" spans="1:13" ht="34.049999999999997" customHeight="1">
      <c r="A19" s="17"/>
      <c r="B19" s="7"/>
      <c r="C19" s="19"/>
      <c r="D19" s="19"/>
      <c r="E19" s="19"/>
      <c r="F19" s="19"/>
      <c r="G19" s="19"/>
      <c r="H19" s="19"/>
      <c r="I19" s="7"/>
      <c r="J19" s="7"/>
      <c r="K19" s="7"/>
      <c r="L19" s="7"/>
      <c r="M19" s="7"/>
    </row>
    <row r="20" spans="1:13" ht="34.049999999999997" customHeight="1">
      <c r="A20" s="17"/>
      <c r="B20" s="7"/>
      <c r="C20" s="19"/>
      <c r="D20" s="19"/>
      <c r="E20" s="19"/>
      <c r="F20" s="19"/>
      <c r="G20" s="19"/>
      <c r="H20" s="19"/>
      <c r="I20" s="7"/>
      <c r="J20" s="7"/>
      <c r="K20" s="7"/>
      <c r="L20" s="7"/>
      <c r="M20" s="7"/>
    </row>
    <row r="21" spans="1:13" ht="34.049999999999997" customHeight="1">
      <c r="A21" s="15"/>
      <c r="B21" s="7"/>
      <c r="C21" s="19"/>
      <c r="D21" s="19"/>
      <c r="E21" s="19"/>
      <c r="F21" s="19"/>
      <c r="G21" s="19"/>
      <c r="H21" s="19"/>
      <c r="I21" s="7"/>
      <c r="J21" s="7"/>
      <c r="K21" s="7"/>
      <c r="L21" s="7"/>
      <c r="M21" s="7"/>
    </row>
    <row r="22" spans="1:13" ht="34.049999999999997" customHeight="1">
      <c r="A22" s="17"/>
      <c r="B22" s="7"/>
      <c r="C22" s="19"/>
      <c r="D22" s="19"/>
      <c r="E22" s="19"/>
      <c r="F22" s="19"/>
      <c r="G22" s="19"/>
      <c r="H22" s="19"/>
      <c r="I22" s="7"/>
      <c r="J22" s="7"/>
      <c r="K22" s="7"/>
      <c r="L22" s="7"/>
      <c r="M22" s="7"/>
    </row>
    <row r="23" spans="1:13" ht="34.049999999999997" customHeight="1">
      <c r="A23" s="17"/>
      <c r="B23" s="7"/>
      <c r="C23" s="19"/>
      <c r="D23" s="19"/>
      <c r="E23" s="19"/>
      <c r="F23" s="19"/>
      <c r="G23" s="19"/>
      <c r="H23" s="19"/>
      <c r="I23" s="7"/>
      <c r="J23" s="7"/>
      <c r="K23" s="7"/>
      <c r="L23" s="7"/>
      <c r="M23" s="7"/>
    </row>
    <row r="24" spans="1:13">
      <c r="A24" s="5"/>
      <c r="B24" s="7"/>
      <c r="C24" s="19"/>
      <c r="D24" s="19"/>
      <c r="E24" s="19"/>
      <c r="F24" s="19"/>
      <c r="G24" s="19"/>
      <c r="H24" s="19"/>
      <c r="I24" s="7"/>
      <c r="J24" s="7"/>
      <c r="K24" s="7"/>
      <c r="L24" s="7"/>
      <c r="M24" s="7"/>
    </row>
    <row r="25" spans="1:13">
      <c r="A25" s="5"/>
      <c r="B25" s="7"/>
      <c r="C25" s="19"/>
      <c r="D25" s="19"/>
      <c r="E25" s="19"/>
      <c r="F25" s="19"/>
      <c r="G25" s="19"/>
      <c r="H25" s="19"/>
      <c r="I25" s="7"/>
      <c r="J25" s="7"/>
      <c r="K25" s="7"/>
      <c r="L25" s="7"/>
      <c r="M25" s="7"/>
    </row>
    <row r="26" spans="1:13">
      <c r="A26" s="5"/>
      <c r="B26" s="7"/>
      <c r="C26" s="19"/>
      <c r="D26" s="19"/>
      <c r="E26" s="19"/>
      <c r="F26" s="19"/>
      <c r="G26" s="19"/>
      <c r="H26" s="19"/>
      <c r="I26" s="7"/>
      <c r="J26" s="7"/>
      <c r="K26" s="7"/>
      <c r="L26" s="7"/>
      <c r="M26" s="7"/>
    </row>
    <row r="27" spans="1:13">
      <c r="A27" s="5"/>
      <c r="B27" s="7"/>
      <c r="C27" s="19"/>
      <c r="D27" s="19"/>
      <c r="E27" s="19"/>
      <c r="F27" s="19"/>
      <c r="G27" s="19"/>
      <c r="H27" s="19"/>
      <c r="I27" s="7"/>
      <c r="J27" s="7"/>
      <c r="K27" s="7"/>
      <c r="L27" s="7"/>
      <c r="M27" s="7"/>
    </row>
    <row r="28" spans="1:13">
      <c r="A28" s="5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</row>
    <row r="29" spans="1:13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</row>
    <row r="30" spans="1:13" ht="36" customHeight="1">
      <c r="A30" s="5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13">
      <c r="A31" s="5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</row>
    <row r="32" spans="1:13">
      <c r="A32" s="5"/>
      <c r="B32" s="7"/>
      <c r="C32" s="94" t="s">
        <v>623</v>
      </c>
      <c r="D32" s="87"/>
      <c r="E32" s="87"/>
      <c r="F32" s="87"/>
      <c r="G32" s="87"/>
      <c r="H32" s="87"/>
      <c r="I32" s="87"/>
      <c r="J32" s="7"/>
      <c r="K32" s="7"/>
      <c r="L32" s="7"/>
      <c r="M32" s="7"/>
    </row>
    <row r="33" spans="1:13">
      <c r="A33" s="5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13">
      <c r="A34" s="5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</row>
    <row r="35" spans="1:13">
      <c r="A35" s="5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</row>
    <row r="36" spans="1:13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1:13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1" spans="1:13">
      <c r="A41" s="5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</row>
    <row r="42" spans="1:13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</sheetData>
  <mergeCells count="11">
    <mergeCell ref="C32:I32"/>
    <mergeCell ref="E8:F9"/>
    <mergeCell ref="C11:I11"/>
    <mergeCell ref="G8:H9"/>
    <mergeCell ref="C8:D9"/>
    <mergeCell ref="C7:D7"/>
    <mergeCell ref="G7:H7"/>
    <mergeCell ref="E7:F7"/>
    <mergeCell ref="C1:J1"/>
    <mergeCell ref="C5:H5"/>
    <mergeCell ref="C2:J2"/>
  </mergeCells>
  <pageMargins left="0.75" right="0.75" top="1" bottom="1" header="0.5" footer="0.5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30">
    <tabColor rgb="FFD4AF37"/>
  </sheetPr>
  <dimension ref="A1:M44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14" customWidth="1"/>
    <col min="4" max="6" width="12" customWidth="1"/>
    <col min="7" max="7" width="14" customWidth="1"/>
    <col min="8" max="10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624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16.05" customHeight="1">
      <c r="A7" s="17"/>
      <c r="B7" s="7"/>
      <c r="C7" s="130" t="s">
        <v>596</v>
      </c>
      <c r="D7" s="128"/>
      <c r="E7" s="130" t="s">
        <v>625</v>
      </c>
      <c r="F7" s="128"/>
      <c r="G7" s="130" t="s">
        <v>598</v>
      </c>
      <c r="H7" s="128"/>
      <c r="I7" s="130" t="s">
        <v>375</v>
      </c>
      <c r="J7" s="128"/>
      <c r="K7" s="7"/>
      <c r="L7" s="7"/>
      <c r="M7" s="7"/>
    </row>
    <row r="8" spans="1:13" ht="19.95" customHeight="1">
      <c r="A8" s="17"/>
      <c r="B8" s="7"/>
      <c r="C8" s="131" t="s">
        <v>600</v>
      </c>
      <c r="D8" s="128"/>
      <c r="E8" s="131">
        <v>0</v>
      </c>
      <c r="F8" s="128"/>
      <c r="G8" s="131" t="s">
        <v>600</v>
      </c>
      <c r="H8" s="128"/>
      <c r="I8" s="131" t="s">
        <v>600</v>
      </c>
      <c r="J8" s="128"/>
      <c r="K8" s="7"/>
      <c r="L8" s="7"/>
      <c r="M8" s="7"/>
    </row>
    <row r="9" spans="1:13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</row>
    <row r="10" spans="1:13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16.05" customHeight="1">
      <c r="A11" s="17"/>
      <c r="B11" s="7"/>
      <c r="C11" s="130" t="s">
        <v>410</v>
      </c>
      <c r="D11" s="128"/>
      <c r="E11" s="130" t="s">
        <v>626</v>
      </c>
      <c r="F11" s="128"/>
      <c r="G11" s="130" t="s">
        <v>627</v>
      </c>
      <c r="H11" s="128"/>
      <c r="I11" s="130" t="s">
        <v>628</v>
      </c>
      <c r="J11" s="128"/>
      <c r="K11" s="7"/>
      <c r="L11" s="7"/>
      <c r="M11" s="7"/>
    </row>
    <row r="12" spans="1:13" ht="19.95" customHeight="1">
      <c r="A12" s="17"/>
      <c r="B12" s="7"/>
      <c r="C12" s="131" t="s">
        <v>600</v>
      </c>
      <c r="D12" s="128"/>
      <c r="E12" s="131">
        <v>0</v>
      </c>
      <c r="F12" s="128"/>
      <c r="G12" s="131">
        <v>0</v>
      </c>
      <c r="H12" s="128"/>
      <c r="I12" s="131" t="s">
        <v>452</v>
      </c>
      <c r="J12" s="128"/>
      <c r="K12" s="7"/>
      <c r="L12" s="7"/>
      <c r="M12" s="7"/>
    </row>
    <row r="13" spans="1:13" ht="16.05" customHeight="1">
      <c r="A13" s="17"/>
      <c r="B13" s="7"/>
      <c r="C13" s="128"/>
      <c r="D13" s="128"/>
      <c r="E13" s="128"/>
      <c r="F13" s="128"/>
      <c r="G13" s="128"/>
      <c r="H13" s="128"/>
      <c r="I13" s="128"/>
      <c r="J13" s="128"/>
      <c r="K13" s="7"/>
      <c r="L13" s="7"/>
      <c r="M13" s="7"/>
    </row>
    <row r="14" spans="1:13" ht="34.049999999999997" customHeight="1">
      <c r="A14" s="1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34.049999999999997" customHeight="1">
      <c r="A15" s="1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34.049999999999997" customHeight="1">
      <c r="A16" s="17"/>
      <c r="B16" s="7"/>
      <c r="C16" s="97" t="s">
        <v>629</v>
      </c>
      <c r="D16" s="87"/>
      <c r="E16" s="87"/>
      <c r="F16" s="87"/>
      <c r="G16" s="7"/>
      <c r="H16" s="97" t="s">
        <v>630</v>
      </c>
      <c r="I16" s="87"/>
      <c r="J16" s="87"/>
      <c r="K16" s="87"/>
      <c r="L16" s="7"/>
      <c r="M16" s="7"/>
    </row>
    <row r="17" spans="1:13" ht="34.049999999999997" customHeight="1">
      <c r="A17" s="17"/>
      <c r="B17" s="7"/>
      <c r="C17" s="18" t="s">
        <v>282</v>
      </c>
      <c r="D17" s="18" t="s">
        <v>610</v>
      </c>
      <c r="E17" s="18" t="s">
        <v>631</v>
      </c>
      <c r="F17" s="18" t="s">
        <v>55</v>
      </c>
      <c r="G17" s="7"/>
      <c r="H17" s="18" t="s">
        <v>632</v>
      </c>
      <c r="I17" s="18" t="s">
        <v>633</v>
      </c>
      <c r="J17" s="18" t="s">
        <v>634</v>
      </c>
      <c r="K17" s="18" t="s">
        <v>635</v>
      </c>
      <c r="L17" s="7"/>
      <c r="M17" s="7"/>
    </row>
    <row r="18" spans="1:13" ht="34.049999999999997" customHeight="1">
      <c r="A18" s="15"/>
      <c r="B18" s="7"/>
      <c r="C18" s="19"/>
      <c r="D18" s="19"/>
      <c r="E18" s="19"/>
      <c r="F18" s="19"/>
      <c r="G18" s="7"/>
      <c r="H18" s="19" t="s">
        <v>513</v>
      </c>
      <c r="I18" s="19"/>
      <c r="J18" s="19"/>
      <c r="K18" s="19"/>
      <c r="L18" s="7"/>
      <c r="M18" s="7"/>
    </row>
    <row r="19" spans="1:13" ht="34.049999999999997" customHeight="1">
      <c r="A19" s="17"/>
      <c r="B19" s="7"/>
      <c r="C19" s="19"/>
      <c r="D19" s="19"/>
      <c r="E19" s="19"/>
      <c r="F19" s="19"/>
      <c r="G19" s="7"/>
      <c r="H19" s="19" t="s">
        <v>514</v>
      </c>
      <c r="I19" s="19"/>
      <c r="J19" s="19"/>
      <c r="K19" s="19"/>
      <c r="L19" s="7"/>
      <c r="M19" s="7"/>
    </row>
    <row r="20" spans="1:13" ht="34.049999999999997" customHeight="1">
      <c r="A20" s="17"/>
      <c r="B20" s="7"/>
      <c r="C20" s="19"/>
      <c r="D20" s="19"/>
      <c r="E20" s="19"/>
      <c r="F20" s="19"/>
      <c r="G20" s="7"/>
      <c r="H20" s="19" t="s">
        <v>636</v>
      </c>
      <c r="I20" s="19"/>
      <c r="J20" s="19"/>
      <c r="K20" s="19"/>
      <c r="L20" s="7"/>
      <c r="M20" s="7"/>
    </row>
    <row r="21" spans="1:13" ht="34.049999999999997" customHeight="1">
      <c r="A21" s="17"/>
      <c r="B21" s="7"/>
      <c r="C21" s="19"/>
      <c r="D21" s="19"/>
      <c r="E21" s="19"/>
      <c r="F21" s="19"/>
      <c r="G21" s="7"/>
      <c r="H21" s="7"/>
      <c r="I21" s="7"/>
      <c r="J21" s="7"/>
      <c r="K21" s="7"/>
      <c r="L21" s="7"/>
      <c r="M21" s="7"/>
    </row>
    <row r="22" spans="1:13" ht="34.049999999999997" customHeight="1">
      <c r="A22" s="17"/>
      <c r="B22" s="7"/>
      <c r="C22" s="19"/>
      <c r="D22" s="19"/>
      <c r="E22" s="19"/>
      <c r="F22" s="19"/>
      <c r="G22" s="7"/>
      <c r="H22" s="7"/>
      <c r="I22" s="7"/>
      <c r="J22" s="7"/>
      <c r="K22" s="7"/>
      <c r="L22" s="7"/>
      <c r="M22" s="7"/>
    </row>
    <row r="23" spans="1:13" ht="34.049999999999997" customHeight="1">
      <c r="A23" s="17"/>
      <c r="B23" s="7"/>
      <c r="C23" s="19"/>
      <c r="D23" s="19"/>
      <c r="E23" s="19"/>
      <c r="F23" s="19"/>
      <c r="G23" s="7"/>
      <c r="H23" s="7"/>
      <c r="I23" s="7"/>
      <c r="J23" s="7"/>
      <c r="K23" s="7"/>
      <c r="L23" s="7"/>
      <c r="M23" s="7"/>
    </row>
    <row r="24" spans="1:13">
      <c r="A24" s="5"/>
      <c r="B24" s="7"/>
      <c r="C24" s="19"/>
      <c r="D24" s="19"/>
      <c r="E24" s="19"/>
      <c r="F24" s="19"/>
      <c r="G24" s="7"/>
      <c r="H24" s="7"/>
      <c r="I24" s="7"/>
      <c r="J24" s="7"/>
      <c r="K24" s="7"/>
      <c r="L24" s="7"/>
      <c r="M24" s="7"/>
    </row>
    <row r="25" spans="1:13">
      <c r="A25" s="5"/>
      <c r="B25" s="7"/>
      <c r="C25" s="19"/>
      <c r="D25" s="19"/>
      <c r="E25" s="19"/>
      <c r="F25" s="19"/>
      <c r="G25" s="7"/>
      <c r="H25" s="7"/>
      <c r="I25" s="7"/>
      <c r="J25" s="7"/>
      <c r="K25" s="7"/>
      <c r="L25" s="7"/>
      <c r="M25" s="7"/>
    </row>
    <row r="26" spans="1:13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13">
      <c r="A27" s="5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13" ht="18">
      <c r="A28" s="5"/>
      <c r="B28" s="7"/>
      <c r="C28" s="97" t="s">
        <v>637</v>
      </c>
      <c r="D28" s="87"/>
      <c r="E28" s="87"/>
      <c r="F28" s="87"/>
      <c r="G28" s="87"/>
      <c r="H28" s="87"/>
      <c r="I28" s="87"/>
      <c r="J28" s="87"/>
      <c r="K28" s="87"/>
      <c r="L28" s="7"/>
      <c r="M28" s="7"/>
    </row>
    <row r="29" spans="1:13">
      <c r="A29" s="5"/>
      <c r="B29" s="7"/>
      <c r="C29" s="18" t="s">
        <v>294</v>
      </c>
      <c r="D29" s="18" t="s">
        <v>178</v>
      </c>
      <c r="E29" s="18" t="s">
        <v>282</v>
      </c>
      <c r="F29" s="18" t="s">
        <v>638</v>
      </c>
      <c r="G29" s="18" t="s">
        <v>13</v>
      </c>
      <c r="H29" s="7"/>
      <c r="I29" s="7"/>
      <c r="J29" s="7"/>
      <c r="K29" s="7"/>
      <c r="L29" s="7"/>
      <c r="M29" s="7"/>
    </row>
    <row r="30" spans="1:13">
      <c r="A30" s="5"/>
      <c r="B30" s="7"/>
      <c r="C30" s="19"/>
      <c r="D30" s="19"/>
      <c r="E30" s="19"/>
      <c r="F30" s="19"/>
      <c r="G30" s="19"/>
      <c r="H30" s="7"/>
      <c r="I30" s="7"/>
      <c r="J30" s="7"/>
      <c r="K30" s="7"/>
      <c r="L30" s="7"/>
      <c r="M30" s="7"/>
    </row>
    <row r="31" spans="1:13">
      <c r="A31" s="5"/>
      <c r="B31" s="7"/>
      <c r="C31" s="19"/>
      <c r="D31" s="19"/>
      <c r="E31" s="19"/>
      <c r="F31" s="19"/>
      <c r="G31" s="19"/>
      <c r="H31" s="7"/>
      <c r="I31" s="7"/>
      <c r="J31" s="7"/>
      <c r="K31" s="7"/>
      <c r="L31" s="7"/>
      <c r="M31" s="7"/>
    </row>
    <row r="32" spans="1:13">
      <c r="A32" s="5"/>
      <c r="B32" s="7"/>
      <c r="C32" s="19"/>
      <c r="D32" s="19"/>
      <c r="E32" s="19"/>
      <c r="F32" s="19"/>
      <c r="G32" s="19"/>
      <c r="H32" s="7"/>
      <c r="I32" s="7"/>
      <c r="J32" s="7"/>
      <c r="K32" s="7"/>
      <c r="L32" s="7"/>
      <c r="M32" s="7"/>
    </row>
    <row r="33" spans="1:13">
      <c r="A33" s="5"/>
      <c r="B33" s="7"/>
      <c r="C33" s="19"/>
      <c r="D33" s="19"/>
      <c r="E33" s="19"/>
      <c r="F33" s="19"/>
      <c r="G33" s="19"/>
      <c r="H33" s="7"/>
      <c r="I33" s="7"/>
      <c r="J33" s="7"/>
      <c r="K33" s="7"/>
      <c r="L33" s="7"/>
      <c r="M33" s="7"/>
    </row>
    <row r="34" spans="1:13">
      <c r="A34" s="5"/>
      <c r="B34" s="7"/>
      <c r="C34" s="19"/>
      <c r="D34" s="19"/>
      <c r="E34" s="19"/>
      <c r="F34" s="19"/>
      <c r="G34" s="19"/>
      <c r="H34" s="7"/>
      <c r="I34" s="7"/>
      <c r="J34" s="7"/>
      <c r="K34" s="7"/>
      <c r="L34" s="7"/>
      <c r="M34" s="7"/>
    </row>
    <row r="35" spans="1:13">
      <c r="A35" s="5"/>
      <c r="B35" s="7"/>
      <c r="C35" s="19"/>
      <c r="D35" s="19"/>
      <c r="E35" s="19"/>
      <c r="F35" s="19"/>
      <c r="G35" s="19"/>
      <c r="H35" s="7"/>
      <c r="I35" s="7"/>
      <c r="J35" s="7"/>
      <c r="K35" s="7"/>
      <c r="L35" s="7"/>
      <c r="M35" s="7"/>
    </row>
    <row r="36" spans="1:13">
      <c r="A36" s="5"/>
      <c r="B36" s="7"/>
      <c r="C36" s="19"/>
      <c r="D36" s="19"/>
      <c r="E36" s="19"/>
      <c r="F36" s="19"/>
      <c r="G36" s="19"/>
      <c r="H36" s="7"/>
      <c r="I36" s="7"/>
      <c r="J36" s="7"/>
      <c r="K36" s="7"/>
      <c r="L36" s="7"/>
      <c r="M36" s="7"/>
    </row>
    <row r="37" spans="1:13">
      <c r="A37" s="5"/>
      <c r="B37" s="7"/>
      <c r="C37" s="19"/>
      <c r="D37" s="19"/>
      <c r="E37" s="19"/>
      <c r="F37" s="19"/>
      <c r="G37" s="19"/>
      <c r="H37" s="7"/>
      <c r="I37" s="7"/>
      <c r="J37" s="7"/>
      <c r="K37" s="7"/>
      <c r="L37" s="7"/>
      <c r="M37" s="7"/>
    </row>
    <row r="38" spans="1:13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1" spans="1:13">
      <c r="A41" s="5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</row>
    <row r="42" spans="1:13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  <row r="43" spans="1:13">
      <c r="A43" s="5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spans="1:13">
      <c r="A44" s="5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</row>
  </sheetData>
  <mergeCells count="22">
    <mergeCell ref="C28:K28"/>
    <mergeCell ref="E11:F11"/>
    <mergeCell ref="C2:J2"/>
    <mergeCell ref="C16:F16"/>
    <mergeCell ref="E8:F9"/>
    <mergeCell ref="G8:H9"/>
    <mergeCell ref="C7:D7"/>
    <mergeCell ref="E7:F7"/>
    <mergeCell ref="C5:H5"/>
    <mergeCell ref="H16:K16"/>
    <mergeCell ref="G7:H7"/>
    <mergeCell ref="C1:J1"/>
    <mergeCell ref="I7:J7"/>
    <mergeCell ref="E12:F13"/>
    <mergeCell ref="G12:H13"/>
    <mergeCell ref="C11:D11"/>
    <mergeCell ref="C12:D13"/>
    <mergeCell ref="I12:J13"/>
    <mergeCell ref="G11:H11"/>
    <mergeCell ref="I11:J11"/>
    <mergeCell ref="I8:J9"/>
    <mergeCell ref="C8:D9"/>
  </mergeCells>
  <pageMargins left="0.75" right="0.75" top="1" bottom="1" header="0.5" footer="0.5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1">
    <tabColor rgb="FFD4AF37"/>
  </sheetPr>
  <dimension ref="A1:M56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14" customWidth="1"/>
    <col min="4" max="6" width="12" customWidth="1"/>
    <col min="7" max="7" width="14" customWidth="1"/>
    <col min="8" max="11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639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16.05" customHeight="1">
      <c r="A7" s="17"/>
      <c r="B7" s="7"/>
      <c r="C7" s="130" t="s">
        <v>640</v>
      </c>
      <c r="D7" s="128"/>
      <c r="E7" s="130" t="s">
        <v>391</v>
      </c>
      <c r="F7" s="128"/>
      <c r="G7" s="130" t="s">
        <v>379</v>
      </c>
      <c r="H7" s="128"/>
      <c r="I7" s="130" t="s">
        <v>375</v>
      </c>
      <c r="J7" s="128"/>
      <c r="K7" s="7"/>
      <c r="L7" s="7"/>
      <c r="M7" s="7"/>
    </row>
    <row r="8" spans="1:13" ht="19.95" customHeight="1">
      <c r="A8" s="17"/>
      <c r="B8" s="7"/>
      <c r="C8" s="131" t="s">
        <v>600</v>
      </c>
      <c r="D8" s="128"/>
      <c r="E8" s="131">
        <v>0</v>
      </c>
      <c r="F8" s="128"/>
      <c r="G8" s="131" t="s">
        <v>452</v>
      </c>
      <c r="H8" s="128"/>
      <c r="I8" s="131" t="s">
        <v>600</v>
      </c>
      <c r="J8" s="128"/>
      <c r="K8" s="7"/>
      <c r="L8" s="7"/>
      <c r="M8" s="7"/>
    </row>
    <row r="9" spans="1:13" ht="16.05" customHeight="1">
      <c r="A9" s="15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</row>
    <row r="10" spans="1:13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16.05" customHeight="1">
      <c r="A11" s="17"/>
      <c r="B11" s="7"/>
      <c r="C11" s="130" t="s">
        <v>394</v>
      </c>
      <c r="D11" s="128"/>
      <c r="E11" s="130" t="s">
        <v>598</v>
      </c>
      <c r="F11" s="128"/>
      <c r="G11" s="130" t="s">
        <v>641</v>
      </c>
      <c r="H11" s="128"/>
      <c r="I11" s="130" t="s">
        <v>642</v>
      </c>
      <c r="J11" s="128"/>
      <c r="K11" s="7"/>
      <c r="L11" s="7"/>
      <c r="M11" s="7"/>
    </row>
    <row r="12" spans="1:13" ht="19.95" customHeight="1">
      <c r="A12" s="17"/>
      <c r="B12" s="7"/>
      <c r="C12" s="131" t="s">
        <v>452</v>
      </c>
      <c r="D12" s="128"/>
      <c r="E12" s="131" t="s">
        <v>600</v>
      </c>
      <c r="F12" s="128"/>
      <c r="G12" s="131" t="s">
        <v>600</v>
      </c>
      <c r="H12" s="128"/>
      <c r="I12" s="131" t="s">
        <v>600</v>
      </c>
      <c r="J12" s="128"/>
      <c r="K12" s="7"/>
      <c r="L12" s="7"/>
      <c r="M12" s="7"/>
    </row>
    <row r="13" spans="1:13" ht="16.05" customHeight="1">
      <c r="A13" s="17"/>
      <c r="B13" s="7"/>
      <c r="C13" s="128"/>
      <c r="D13" s="128"/>
      <c r="E13" s="128"/>
      <c r="F13" s="128"/>
      <c r="G13" s="128"/>
      <c r="H13" s="128"/>
      <c r="I13" s="128"/>
      <c r="J13" s="128"/>
      <c r="K13" s="7"/>
      <c r="L13" s="7"/>
      <c r="M13" s="7"/>
    </row>
    <row r="14" spans="1:13" ht="34.049999999999997" customHeight="1">
      <c r="A14" s="1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16.05" customHeight="1">
      <c r="A15" s="17"/>
      <c r="B15" s="7"/>
      <c r="C15" s="130" t="s">
        <v>643</v>
      </c>
      <c r="D15" s="128"/>
      <c r="E15" s="130" t="s">
        <v>644</v>
      </c>
      <c r="F15" s="128"/>
      <c r="G15" s="130" t="s">
        <v>645</v>
      </c>
      <c r="H15" s="128"/>
      <c r="I15" s="130" t="s">
        <v>646</v>
      </c>
      <c r="J15" s="128"/>
      <c r="K15" s="7"/>
      <c r="L15" s="7"/>
      <c r="M15" s="7"/>
    </row>
    <row r="16" spans="1:13" ht="19.95" customHeight="1">
      <c r="A16" s="17"/>
      <c r="B16" s="7"/>
      <c r="C16" s="131" t="s">
        <v>452</v>
      </c>
      <c r="D16" s="128"/>
      <c r="E16" s="131" t="s">
        <v>452</v>
      </c>
      <c r="F16" s="128"/>
      <c r="G16" s="131" t="s">
        <v>600</v>
      </c>
      <c r="H16" s="128"/>
      <c r="I16" s="131" t="s">
        <v>600</v>
      </c>
      <c r="J16" s="128"/>
      <c r="K16" s="7"/>
      <c r="L16" s="7"/>
      <c r="M16" s="7"/>
    </row>
    <row r="17" spans="1:13" ht="16.05" customHeight="1">
      <c r="A17" s="17"/>
      <c r="B17" s="7"/>
      <c r="C17" s="128"/>
      <c r="D17" s="128"/>
      <c r="E17" s="128"/>
      <c r="F17" s="128"/>
      <c r="G17" s="128"/>
      <c r="H17" s="128"/>
      <c r="I17" s="128"/>
      <c r="J17" s="128"/>
      <c r="K17" s="7"/>
      <c r="L17" s="7"/>
      <c r="M17" s="7"/>
    </row>
    <row r="18" spans="1:13" ht="34.049999999999997" customHeight="1">
      <c r="A18" s="1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</row>
    <row r="19" spans="1:13" ht="34.049999999999997" customHeight="1">
      <c r="A19" s="1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34.049999999999997" customHeight="1">
      <c r="A20" s="17"/>
      <c r="B20" s="7"/>
      <c r="C20" s="97" t="s">
        <v>647</v>
      </c>
      <c r="D20" s="87"/>
      <c r="E20" s="87"/>
      <c r="F20" s="87"/>
      <c r="G20" s="7"/>
      <c r="H20" s="97" t="s">
        <v>648</v>
      </c>
      <c r="I20" s="87"/>
      <c r="J20" s="87"/>
      <c r="K20" s="87"/>
      <c r="L20" s="7"/>
      <c r="M20" s="7"/>
    </row>
    <row r="21" spans="1:13" ht="34.049999999999997" customHeight="1">
      <c r="A21" s="17"/>
      <c r="B21" s="7"/>
      <c r="C21" s="19" t="s">
        <v>649</v>
      </c>
      <c r="D21" s="140"/>
      <c r="E21" s="87"/>
      <c r="F21" s="87"/>
      <c r="G21" s="7"/>
      <c r="H21" s="19" t="s">
        <v>650</v>
      </c>
      <c r="I21" s="139"/>
      <c r="J21" s="87"/>
      <c r="K21" s="87"/>
      <c r="L21" s="7"/>
      <c r="M21" s="7"/>
    </row>
    <row r="22" spans="1:13" ht="34.049999999999997" customHeight="1">
      <c r="A22" s="17"/>
      <c r="B22" s="7"/>
      <c r="C22" s="19" t="s">
        <v>651</v>
      </c>
      <c r="D22" s="140"/>
      <c r="E22" s="87"/>
      <c r="F22" s="87"/>
      <c r="G22" s="7"/>
      <c r="H22" s="19" t="s">
        <v>652</v>
      </c>
      <c r="I22" s="139"/>
      <c r="J22" s="87"/>
      <c r="K22" s="87"/>
      <c r="L22" s="7"/>
      <c r="M22" s="7"/>
    </row>
    <row r="23" spans="1:13" ht="34.049999999999997" customHeight="1">
      <c r="A23" s="17"/>
      <c r="B23" s="7"/>
      <c r="C23" s="19" t="s">
        <v>653</v>
      </c>
      <c r="D23" s="140"/>
      <c r="E23" s="87"/>
      <c r="F23" s="87"/>
      <c r="G23" s="7"/>
      <c r="H23" s="19" t="s">
        <v>654</v>
      </c>
      <c r="I23" s="139"/>
      <c r="J23" s="87"/>
      <c r="K23" s="87"/>
      <c r="L23" s="7"/>
      <c r="M23" s="7"/>
    </row>
    <row r="24" spans="1:13">
      <c r="A24" s="5"/>
      <c r="B24" s="7"/>
      <c r="C24" s="19" t="s">
        <v>655</v>
      </c>
      <c r="D24" s="140"/>
      <c r="E24" s="87"/>
      <c r="F24" s="87"/>
      <c r="G24" s="7"/>
      <c r="H24" s="7"/>
      <c r="I24" s="7"/>
      <c r="J24" s="7"/>
      <c r="K24" s="7"/>
      <c r="L24" s="7"/>
      <c r="M24" s="7"/>
    </row>
    <row r="25" spans="1:13">
      <c r="A25" s="5"/>
      <c r="B25" s="7"/>
      <c r="C25" s="19" t="s">
        <v>656</v>
      </c>
      <c r="D25" s="140"/>
      <c r="E25" s="87"/>
      <c r="F25" s="87"/>
      <c r="G25" s="7"/>
      <c r="H25" s="7"/>
      <c r="I25" s="7"/>
      <c r="J25" s="7"/>
      <c r="K25" s="7"/>
      <c r="L25" s="7"/>
      <c r="M25" s="7"/>
    </row>
    <row r="26" spans="1:13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13" ht="18">
      <c r="A27" s="5"/>
      <c r="B27" s="7"/>
      <c r="C27" s="97" t="s">
        <v>657</v>
      </c>
      <c r="D27" s="87"/>
      <c r="E27" s="87"/>
      <c r="F27" s="87"/>
      <c r="G27" s="7"/>
      <c r="H27" s="97" t="s">
        <v>658</v>
      </c>
      <c r="I27" s="87"/>
      <c r="J27" s="87"/>
      <c r="K27" s="87"/>
      <c r="L27" s="7"/>
      <c r="M27" s="7"/>
    </row>
    <row r="28" spans="1:13">
      <c r="A28" s="5"/>
      <c r="B28" s="7"/>
      <c r="C28" s="18" t="s">
        <v>57</v>
      </c>
      <c r="D28" s="18" t="s">
        <v>58</v>
      </c>
      <c r="E28" s="18" t="s">
        <v>659</v>
      </c>
      <c r="F28" s="7"/>
      <c r="G28" s="7"/>
      <c r="H28" s="18" t="s">
        <v>50</v>
      </c>
      <c r="I28" s="18" t="s">
        <v>52</v>
      </c>
      <c r="J28" s="18" t="s">
        <v>55</v>
      </c>
      <c r="K28" s="18" t="s">
        <v>660</v>
      </c>
      <c r="L28" s="7"/>
      <c r="M28" s="7"/>
    </row>
    <row r="29" spans="1:13">
      <c r="A29" s="5"/>
      <c r="B29" s="7"/>
      <c r="C29" s="19"/>
      <c r="D29" s="19"/>
      <c r="E29" s="19"/>
      <c r="F29" s="7"/>
      <c r="G29" s="7"/>
      <c r="H29" s="19"/>
      <c r="I29" s="19"/>
      <c r="J29" s="19"/>
      <c r="K29" s="19"/>
      <c r="L29" s="7"/>
      <c r="M29" s="7"/>
    </row>
    <row r="30" spans="1:13">
      <c r="A30" s="5"/>
      <c r="B30" s="7"/>
      <c r="C30" s="19"/>
      <c r="D30" s="19"/>
      <c r="E30" s="19"/>
      <c r="F30" s="7"/>
      <c r="G30" s="7"/>
      <c r="H30" s="19"/>
      <c r="I30" s="19"/>
      <c r="J30" s="19"/>
      <c r="K30" s="19"/>
      <c r="L30" s="7"/>
      <c r="M30" s="7"/>
    </row>
    <row r="31" spans="1:13">
      <c r="A31" s="5"/>
      <c r="B31" s="7"/>
      <c r="C31" s="19"/>
      <c r="D31" s="19"/>
      <c r="E31" s="19"/>
      <c r="F31" s="7"/>
      <c r="G31" s="7"/>
      <c r="H31" s="19"/>
      <c r="I31" s="19"/>
      <c r="J31" s="19"/>
      <c r="K31" s="19"/>
      <c r="L31" s="7"/>
      <c r="M31" s="7"/>
    </row>
    <row r="32" spans="1:13">
      <c r="A32" s="5"/>
      <c r="B32" s="7"/>
      <c r="C32" s="19"/>
      <c r="D32" s="19"/>
      <c r="E32" s="19"/>
      <c r="F32" s="7"/>
      <c r="G32" s="7"/>
      <c r="H32" s="19"/>
      <c r="I32" s="19"/>
      <c r="J32" s="19"/>
      <c r="K32" s="19"/>
      <c r="L32" s="7"/>
      <c r="M32" s="7"/>
    </row>
    <row r="33" spans="1:13">
      <c r="A33" s="5"/>
      <c r="B33" s="7"/>
      <c r="C33" s="19"/>
      <c r="D33" s="19"/>
      <c r="E33" s="19"/>
      <c r="F33" s="7"/>
      <c r="G33" s="7"/>
      <c r="H33" s="19"/>
      <c r="I33" s="19"/>
      <c r="J33" s="19"/>
      <c r="K33" s="19"/>
      <c r="L33" s="7"/>
      <c r="M33" s="7"/>
    </row>
    <row r="34" spans="1:13">
      <c r="A34" s="5"/>
      <c r="B34" s="7"/>
      <c r="C34" s="19"/>
      <c r="D34" s="19"/>
      <c r="E34" s="19"/>
      <c r="F34" s="7"/>
      <c r="G34" s="7"/>
      <c r="H34" s="19"/>
      <c r="I34" s="19"/>
      <c r="J34" s="19"/>
      <c r="K34" s="19"/>
      <c r="L34" s="7"/>
      <c r="M34" s="7"/>
    </row>
    <row r="35" spans="1:13">
      <c r="A35" s="5"/>
      <c r="B35" s="7"/>
      <c r="C35" s="19"/>
      <c r="D35" s="19"/>
      <c r="E35" s="19"/>
      <c r="F35" s="7"/>
      <c r="G35" s="7"/>
      <c r="H35" s="19"/>
      <c r="I35" s="19"/>
      <c r="J35" s="19"/>
      <c r="K35" s="19"/>
      <c r="L35" s="7"/>
      <c r="M35" s="7"/>
    </row>
    <row r="36" spans="1:13">
      <c r="A36" s="5"/>
      <c r="B36" s="7"/>
      <c r="C36" s="7"/>
      <c r="D36" s="7"/>
      <c r="E36" s="7"/>
      <c r="F36" s="7"/>
      <c r="G36" s="7"/>
      <c r="H36" s="19"/>
      <c r="I36" s="19"/>
      <c r="J36" s="19"/>
      <c r="K36" s="19"/>
      <c r="L36" s="7"/>
      <c r="M36" s="7"/>
    </row>
    <row r="37" spans="1:13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 ht="18">
      <c r="A38" s="5"/>
      <c r="B38" s="7"/>
      <c r="C38" s="97" t="s">
        <v>661</v>
      </c>
      <c r="D38" s="87"/>
      <c r="E38" s="87"/>
      <c r="F38" s="87"/>
      <c r="G38" s="87"/>
      <c r="H38" s="87"/>
      <c r="I38" s="87"/>
      <c r="J38" s="87"/>
      <c r="K38" s="87"/>
      <c r="L38" s="7"/>
      <c r="M38" s="7"/>
    </row>
    <row r="39" spans="1:13">
      <c r="A39" s="5"/>
      <c r="B39" s="7"/>
      <c r="C39" s="18" t="s">
        <v>239</v>
      </c>
      <c r="D39" s="18" t="s">
        <v>662</v>
      </c>
      <c r="E39" s="18" t="s">
        <v>663</v>
      </c>
      <c r="F39" s="18" t="s">
        <v>638</v>
      </c>
      <c r="G39" s="7"/>
      <c r="H39" s="7"/>
      <c r="I39" s="7"/>
      <c r="J39" s="7"/>
      <c r="K39" s="7"/>
      <c r="L39" s="7"/>
      <c r="M39" s="7"/>
    </row>
    <row r="40" spans="1:13">
      <c r="A40" s="5"/>
      <c r="B40" s="7"/>
      <c r="C40" s="19"/>
      <c r="D40" s="19"/>
      <c r="E40" s="19"/>
      <c r="F40" s="19"/>
      <c r="G40" s="7"/>
      <c r="H40" s="7"/>
      <c r="I40" s="7"/>
      <c r="J40" s="7"/>
      <c r="K40" s="7"/>
      <c r="L40" s="7"/>
      <c r="M40" s="7"/>
    </row>
    <row r="41" spans="1:13">
      <c r="A41" s="5"/>
      <c r="B41" s="7"/>
      <c r="C41" s="19"/>
      <c r="D41" s="19"/>
      <c r="E41" s="19"/>
      <c r="F41" s="19"/>
      <c r="G41" s="7"/>
      <c r="H41" s="7"/>
      <c r="I41" s="7"/>
      <c r="J41" s="7"/>
      <c r="K41" s="7"/>
      <c r="L41" s="7"/>
      <c r="M41" s="7"/>
    </row>
    <row r="42" spans="1:13">
      <c r="A42" s="5"/>
      <c r="B42" s="7"/>
      <c r="C42" s="19"/>
      <c r="D42" s="19"/>
      <c r="E42" s="19"/>
      <c r="F42" s="19"/>
      <c r="G42" s="7"/>
      <c r="H42" s="7"/>
      <c r="I42" s="7"/>
      <c r="J42" s="7"/>
      <c r="K42" s="7"/>
      <c r="L42" s="7"/>
      <c r="M42" s="7"/>
    </row>
    <row r="43" spans="1:13">
      <c r="A43" s="5"/>
      <c r="B43" s="7"/>
      <c r="C43" s="19"/>
      <c r="D43" s="19"/>
      <c r="E43" s="19"/>
      <c r="F43" s="19"/>
      <c r="G43" s="7"/>
      <c r="H43" s="7"/>
      <c r="I43" s="7"/>
      <c r="J43" s="7"/>
      <c r="K43" s="7"/>
      <c r="L43" s="7"/>
      <c r="M43" s="7"/>
    </row>
    <row r="44" spans="1:13">
      <c r="A44" s="5"/>
      <c r="B44" s="7"/>
      <c r="C44" s="19"/>
      <c r="D44" s="19"/>
      <c r="E44" s="19"/>
      <c r="F44" s="19"/>
      <c r="G44" s="7"/>
      <c r="H44" s="7"/>
      <c r="I44" s="7"/>
      <c r="J44" s="7"/>
      <c r="K44" s="7"/>
      <c r="L44" s="7"/>
      <c r="M44" s="7"/>
    </row>
    <row r="45" spans="1:13">
      <c r="A45" s="5"/>
      <c r="B45" s="7"/>
      <c r="C45" s="19"/>
      <c r="D45" s="19"/>
      <c r="E45" s="19"/>
      <c r="F45" s="19"/>
      <c r="G45" s="7"/>
      <c r="H45" s="7"/>
      <c r="I45" s="7"/>
      <c r="J45" s="7"/>
      <c r="K45" s="7"/>
      <c r="L45" s="7"/>
      <c r="M45" s="7"/>
    </row>
    <row r="46" spans="1:13">
      <c r="A46" s="5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</row>
    <row r="47" spans="1:13">
      <c r="A47" s="5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</row>
    <row r="48" spans="1:13">
      <c r="A48" s="5"/>
      <c r="B48" s="7"/>
      <c r="C48" s="94" t="s">
        <v>664</v>
      </c>
      <c r="D48" s="87"/>
      <c r="E48" s="87"/>
      <c r="F48" s="87"/>
      <c r="G48" s="87"/>
      <c r="H48" s="87"/>
      <c r="I48" s="87"/>
      <c r="J48" s="87"/>
      <c r="K48" s="87"/>
      <c r="L48" s="7"/>
      <c r="M48" s="7"/>
    </row>
    <row r="49" spans="1:13">
      <c r="A49" s="5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</row>
    <row r="50" spans="1:13">
      <c r="A50" s="5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</row>
    <row r="51" spans="1:13">
      <c r="A51" s="5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</row>
    <row r="52" spans="1:13">
      <c r="A52" s="5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</row>
    <row r="53" spans="1:13">
      <c r="A53" s="5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</row>
    <row r="54" spans="1:13">
      <c r="A54" s="5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</row>
    <row r="55" spans="1:13">
      <c r="A55" s="5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</row>
    <row r="56" spans="1:13">
      <c r="A56" s="5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</row>
  </sheetData>
  <mergeCells count="41">
    <mergeCell ref="C48:K48"/>
    <mergeCell ref="D25:F25"/>
    <mergeCell ref="D24:F24"/>
    <mergeCell ref="C38:K38"/>
    <mergeCell ref="E12:F13"/>
    <mergeCell ref="G12:H13"/>
    <mergeCell ref="E15:F15"/>
    <mergeCell ref="D23:F23"/>
    <mergeCell ref="G15:H15"/>
    <mergeCell ref="C20:F20"/>
    <mergeCell ref="C27:F27"/>
    <mergeCell ref="C16:D17"/>
    <mergeCell ref="I16:J17"/>
    <mergeCell ref="D22:F22"/>
    <mergeCell ref="D21:F21"/>
    <mergeCell ref="C8:D9"/>
    <mergeCell ref="G7:H7"/>
    <mergeCell ref="E16:F17"/>
    <mergeCell ref="C1:J1"/>
    <mergeCell ref="I7:J7"/>
    <mergeCell ref="G16:H17"/>
    <mergeCell ref="C11:D11"/>
    <mergeCell ref="E11:F11"/>
    <mergeCell ref="C2:J2"/>
    <mergeCell ref="E8:F9"/>
    <mergeCell ref="G8:H9"/>
    <mergeCell ref="C7:D7"/>
    <mergeCell ref="E7:F7"/>
    <mergeCell ref="C5:H5"/>
    <mergeCell ref="H27:K27"/>
    <mergeCell ref="G11:H11"/>
    <mergeCell ref="I11:J11"/>
    <mergeCell ref="I21:K21"/>
    <mergeCell ref="I8:J9"/>
    <mergeCell ref="I23:K23"/>
    <mergeCell ref="H20:K20"/>
    <mergeCell ref="C12:D13"/>
    <mergeCell ref="I12:J13"/>
    <mergeCell ref="I22:K22"/>
    <mergeCell ref="C15:D15"/>
    <mergeCell ref="I15:J15"/>
  </mergeCells>
  <pageMargins left="0.75" right="0.75" top="1" bottom="1" header="0.5" footer="0.5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2">
    <tabColor rgb="FFD4AF37"/>
  </sheetPr>
  <dimension ref="A1:M58"/>
  <sheetViews>
    <sheetView showGridLines="0" workbookViewId="0"/>
  </sheetViews>
  <sheetFormatPr defaultRowHeight="14.4"/>
  <cols>
    <col min="1" max="1" width="24" customWidth="1"/>
    <col min="2" max="2" width="2" customWidth="1"/>
    <col min="3" max="4" width="14" customWidth="1"/>
    <col min="5" max="6" width="12" customWidth="1"/>
    <col min="7" max="7" width="14" customWidth="1"/>
    <col min="8" max="9" width="12" customWidth="1"/>
    <col min="10" max="10" width="14" customWidth="1"/>
    <col min="11" max="11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665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34.049999999999997" customHeight="1">
      <c r="A7" s="17"/>
      <c r="B7" s="7"/>
      <c r="C7" s="97" t="s">
        <v>666</v>
      </c>
      <c r="D7" s="87"/>
      <c r="E7" s="87"/>
      <c r="F7" s="87"/>
      <c r="G7" s="87"/>
      <c r="H7" s="87"/>
      <c r="I7" s="87"/>
      <c r="J7" s="87"/>
      <c r="K7" s="87"/>
      <c r="L7" s="7"/>
      <c r="M7" s="7"/>
    </row>
    <row r="8" spans="1:13" ht="34.049999999999997" customHeight="1">
      <c r="A8" s="17"/>
      <c r="B8" s="7"/>
      <c r="C8" s="141"/>
      <c r="D8" s="87"/>
      <c r="E8" s="87"/>
      <c r="F8" s="87"/>
      <c r="G8" s="87"/>
      <c r="H8" s="87"/>
      <c r="I8" s="87"/>
      <c r="J8" s="87"/>
      <c r="K8" s="87"/>
      <c r="L8" s="7"/>
      <c r="M8" s="7"/>
    </row>
    <row r="9" spans="1:13" ht="34.049999999999997" customHeight="1">
      <c r="A9" s="15"/>
      <c r="B9" s="7"/>
      <c r="C9" s="141"/>
      <c r="D9" s="87"/>
      <c r="E9" s="87"/>
      <c r="F9" s="87"/>
      <c r="G9" s="87"/>
      <c r="H9" s="87"/>
      <c r="I9" s="87"/>
      <c r="J9" s="87"/>
      <c r="K9" s="87"/>
      <c r="L9" s="7"/>
      <c r="M9" s="7"/>
    </row>
    <row r="10" spans="1:13" ht="34.049999999999997" customHeight="1">
      <c r="A10" s="17"/>
      <c r="B10" s="7"/>
      <c r="C10" s="141"/>
      <c r="D10" s="87"/>
      <c r="E10" s="87"/>
      <c r="F10" s="87"/>
      <c r="G10" s="87"/>
      <c r="H10" s="87"/>
      <c r="I10" s="87"/>
      <c r="J10" s="87"/>
      <c r="K10" s="87"/>
      <c r="L10" s="7"/>
      <c r="M10" s="7"/>
    </row>
    <row r="11" spans="1:13" ht="34.049999999999997" customHeight="1">
      <c r="A11" s="17"/>
      <c r="B11" s="7"/>
      <c r="C11" s="141"/>
      <c r="D11" s="87"/>
      <c r="E11" s="87"/>
      <c r="F11" s="87"/>
      <c r="G11" s="87"/>
      <c r="H11" s="87"/>
      <c r="I11" s="87"/>
      <c r="J11" s="87"/>
      <c r="K11" s="87"/>
      <c r="L11" s="7"/>
      <c r="M11" s="7"/>
    </row>
    <row r="12" spans="1:13" ht="34.049999999999997" customHeight="1">
      <c r="A12" s="17"/>
      <c r="B12" s="7"/>
      <c r="C12" s="141"/>
      <c r="D12" s="87"/>
      <c r="E12" s="87"/>
      <c r="F12" s="87"/>
      <c r="G12" s="87"/>
      <c r="H12" s="87"/>
      <c r="I12" s="87"/>
      <c r="J12" s="87"/>
      <c r="K12" s="87"/>
      <c r="L12" s="7"/>
      <c r="M12" s="7"/>
    </row>
    <row r="13" spans="1:13" ht="34.049999999999997" customHeight="1">
      <c r="A13" s="17"/>
      <c r="B13" s="7"/>
      <c r="C13" s="141"/>
      <c r="D13" s="87"/>
      <c r="E13" s="87"/>
      <c r="F13" s="87"/>
      <c r="G13" s="87"/>
      <c r="H13" s="87"/>
      <c r="I13" s="87"/>
      <c r="J13" s="87"/>
      <c r="K13" s="87"/>
      <c r="L13" s="7"/>
      <c r="M13" s="7"/>
    </row>
    <row r="14" spans="1:13" ht="34.049999999999997" customHeight="1">
      <c r="A14" s="17"/>
      <c r="B14" s="7"/>
      <c r="C14" s="141"/>
      <c r="D14" s="87"/>
      <c r="E14" s="87"/>
      <c r="F14" s="87"/>
      <c r="G14" s="87"/>
      <c r="H14" s="87"/>
      <c r="I14" s="87"/>
      <c r="J14" s="87"/>
      <c r="K14" s="87"/>
      <c r="L14" s="7"/>
      <c r="M14" s="7"/>
    </row>
    <row r="15" spans="1:13" ht="34.049999999999997" customHeight="1">
      <c r="A15" s="17"/>
      <c r="B15" s="7"/>
      <c r="C15" s="141"/>
      <c r="D15" s="87"/>
      <c r="E15" s="87"/>
      <c r="F15" s="87"/>
      <c r="G15" s="87"/>
      <c r="H15" s="87"/>
      <c r="I15" s="87"/>
      <c r="J15" s="87"/>
      <c r="K15" s="87"/>
      <c r="L15" s="7"/>
      <c r="M15" s="7"/>
    </row>
    <row r="16" spans="1:13" ht="34.049999999999997" customHeight="1">
      <c r="A16" s="1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34.049999999999997" customHeight="1">
      <c r="A17" s="17"/>
      <c r="B17" s="7"/>
      <c r="C17" s="97" t="s">
        <v>667</v>
      </c>
      <c r="D17" s="87"/>
      <c r="E17" s="87"/>
      <c r="F17" s="87"/>
      <c r="G17" s="7"/>
      <c r="H17" s="97" t="s">
        <v>668</v>
      </c>
      <c r="I17" s="87"/>
      <c r="J17" s="87"/>
      <c r="K17" s="87"/>
      <c r="L17" s="7"/>
      <c r="M17" s="7"/>
    </row>
    <row r="18" spans="1:13" ht="34.049999999999997" customHeight="1">
      <c r="A18" s="17"/>
      <c r="B18" s="7"/>
      <c r="C18" s="18" t="s">
        <v>177</v>
      </c>
      <c r="D18" s="18" t="s">
        <v>663</v>
      </c>
      <c r="E18" s="18" t="s">
        <v>632</v>
      </c>
      <c r="F18" s="18" t="s">
        <v>669</v>
      </c>
      <c r="G18" s="7"/>
      <c r="H18" s="18" t="s">
        <v>282</v>
      </c>
      <c r="I18" s="18" t="s">
        <v>670</v>
      </c>
      <c r="J18" s="18" t="s">
        <v>671</v>
      </c>
      <c r="K18" s="18" t="s">
        <v>672</v>
      </c>
      <c r="L18" s="7"/>
      <c r="M18" s="7"/>
    </row>
    <row r="19" spans="1:13" ht="34.049999999999997" customHeight="1">
      <c r="A19" s="17"/>
      <c r="B19" s="7"/>
      <c r="C19" s="19"/>
      <c r="D19" s="19"/>
      <c r="E19" s="19"/>
      <c r="F19" s="19"/>
      <c r="G19" s="7"/>
      <c r="H19" s="19"/>
      <c r="I19" s="19"/>
      <c r="J19" s="19"/>
      <c r="K19" s="19"/>
      <c r="L19" s="7"/>
      <c r="M19" s="7"/>
    </row>
    <row r="20" spans="1:13" ht="34.049999999999997" customHeight="1">
      <c r="A20" s="17"/>
      <c r="B20" s="7"/>
      <c r="C20" s="19"/>
      <c r="D20" s="19"/>
      <c r="E20" s="19"/>
      <c r="F20" s="19"/>
      <c r="G20" s="7"/>
      <c r="H20" s="19"/>
      <c r="I20" s="19"/>
      <c r="J20" s="19"/>
      <c r="K20" s="19"/>
      <c r="L20" s="7"/>
      <c r="M20" s="7"/>
    </row>
    <row r="21" spans="1:13" ht="34.049999999999997" customHeight="1">
      <c r="A21" s="17"/>
      <c r="B21" s="7"/>
      <c r="C21" s="19"/>
      <c r="D21" s="19"/>
      <c r="E21" s="19"/>
      <c r="F21" s="19"/>
      <c r="G21" s="7"/>
      <c r="H21" s="19"/>
      <c r="I21" s="19"/>
      <c r="J21" s="19"/>
      <c r="K21" s="19"/>
      <c r="L21" s="7"/>
      <c r="M21" s="7"/>
    </row>
    <row r="22" spans="1:13" ht="34.049999999999997" customHeight="1">
      <c r="A22" s="17"/>
      <c r="B22" s="7"/>
      <c r="C22" s="19"/>
      <c r="D22" s="19"/>
      <c r="E22" s="19"/>
      <c r="F22" s="19"/>
      <c r="G22" s="7"/>
      <c r="H22" s="19"/>
      <c r="I22" s="19"/>
      <c r="J22" s="19"/>
      <c r="K22" s="19"/>
      <c r="L22" s="7"/>
      <c r="M22" s="7"/>
    </row>
    <row r="23" spans="1:13" ht="34.049999999999997" customHeight="1">
      <c r="A23" s="17"/>
      <c r="B23" s="7"/>
      <c r="C23" s="19"/>
      <c r="D23" s="19"/>
      <c r="E23" s="19"/>
      <c r="F23" s="19"/>
      <c r="G23" s="7"/>
      <c r="H23" s="19"/>
      <c r="I23" s="19"/>
      <c r="J23" s="19"/>
      <c r="K23" s="19"/>
      <c r="L23" s="7"/>
      <c r="M23" s="7"/>
    </row>
    <row r="24" spans="1:13">
      <c r="A24" s="5"/>
      <c r="B24" s="7"/>
      <c r="C24" s="19"/>
      <c r="D24" s="19"/>
      <c r="E24" s="19"/>
      <c r="F24" s="19"/>
      <c r="G24" s="7"/>
      <c r="H24" s="19"/>
      <c r="I24" s="19"/>
      <c r="J24" s="19"/>
      <c r="K24" s="19"/>
      <c r="L24" s="7"/>
      <c r="M24" s="7"/>
    </row>
    <row r="25" spans="1:13">
      <c r="A25" s="5"/>
      <c r="B25" s="7"/>
      <c r="C25" s="19"/>
      <c r="D25" s="19"/>
      <c r="E25" s="19"/>
      <c r="F25" s="19"/>
      <c r="G25" s="7"/>
      <c r="H25" s="19"/>
      <c r="I25" s="19"/>
      <c r="J25" s="19"/>
      <c r="K25" s="19"/>
      <c r="L25" s="7"/>
      <c r="M25" s="7"/>
    </row>
    <row r="26" spans="1:13">
      <c r="A26" s="5"/>
      <c r="B26" s="7"/>
      <c r="C26" s="19"/>
      <c r="D26" s="19"/>
      <c r="E26" s="19"/>
      <c r="F26" s="19"/>
      <c r="G26" s="7"/>
      <c r="H26" s="19"/>
      <c r="I26" s="19"/>
      <c r="J26" s="19"/>
      <c r="K26" s="19"/>
      <c r="L26" s="7"/>
      <c r="M26" s="7"/>
    </row>
    <row r="27" spans="1:13">
      <c r="A27" s="5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13" ht="18">
      <c r="A28" s="5"/>
      <c r="B28" s="7"/>
      <c r="C28" s="97" t="s">
        <v>673</v>
      </c>
      <c r="D28" s="87"/>
      <c r="E28" s="87"/>
      <c r="F28" s="87"/>
      <c r="G28" s="87"/>
      <c r="H28" s="87"/>
      <c r="I28" s="87"/>
      <c r="J28" s="87"/>
      <c r="K28" s="87"/>
      <c r="L28" s="7"/>
      <c r="M28" s="7"/>
    </row>
    <row r="29" spans="1:13">
      <c r="A29" s="5"/>
      <c r="B29" s="7"/>
      <c r="C29" s="19" t="s">
        <v>674</v>
      </c>
      <c r="D29" s="133" t="s">
        <v>675</v>
      </c>
      <c r="E29" s="87"/>
      <c r="F29" s="87"/>
      <c r="G29" s="7"/>
      <c r="H29" s="19" t="s">
        <v>676</v>
      </c>
      <c r="I29" s="133" t="s">
        <v>677</v>
      </c>
      <c r="J29" s="87"/>
      <c r="K29" s="87"/>
      <c r="L29" s="7"/>
      <c r="M29" s="7"/>
    </row>
    <row r="30" spans="1:13">
      <c r="A30" s="5"/>
      <c r="B30" s="7"/>
      <c r="C30" s="19" t="s">
        <v>678</v>
      </c>
      <c r="D30" s="133">
        <v>10</v>
      </c>
      <c r="E30" s="87"/>
      <c r="F30" s="87"/>
      <c r="G30" s="7"/>
      <c r="H30" s="19" t="s">
        <v>679</v>
      </c>
      <c r="I30" s="133">
        <v>3500</v>
      </c>
      <c r="J30" s="87"/>
      <c r="K30" s="87"/>
      <c r="L30" s="7"/>
      <c r="M30" s="7"/>
    </row>
    <row r="31" spans="1:13" ht="15.6">
      <c r="A31" s="5"/>
      <c r="B31" s="7"/>
      <c r="C31" s="19" t="s">
        <v>483</v>
      </c>
      <c r="D31" s="139" t="s">
        <v>584</v>
      </c>
      <c r="E31" s="87"/>
      <c r="F31" s="87"/>
      <c r="G31" s="7"/>
      <c r="H31" s="19" t="s">
        <v>680</v>
      </c>
      <c r="I31" s="133">
        <v>90</v>
      </c>
      <c r="J31" s="87"/>
      <c r="K31" s="87"/>
      <c r="L31" s="7"/>
      <c r="M31" s="7"/>
    </row>
    <row r="32" spans="1:13">
      <c r="A32" s="5"/>
      <c r="B32" s="7"/>
      <c r="C32" s="7"/>
      <c r="D32" s="7"/>
      <c r="E32" s="7"/>
      <c r="F32" s="7"/>
      <c r="G32" s="7"/>
      <c r="H32" s="19" t="s">
        <v>483</v>
      </c>
      <c r="I32" s="140" t="s">
        <v>584</v>
      </c>
      <c r="J32" s="87"/>
      <c r="K32" s="87"/>
      <c r="L32" s="7"/>
      <c r="M32" s="7"/>
    </row>
    <row r="33" spans="1:13">
      <c r="A33" s="5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13" ht="36" customHeight="1">
      <c r="A34" s="5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</row>
    <row r="35" spans="1:13">
      <c r="A35" s="5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</row>
    <row r="36" spans="1:13" ht="18">
      <c r="A36" s="5"/>
      <c r="B36" s="7"/>
      <c r="C36" s="97" t="s">
        <v>681</v>
      </c>
      <c r="D36" s="87"/>
      <c r="E36" s="87"/>
      <c r="F36" s="87"/>
      <c r="G36" s="87"/>
      <c r="H36" s="87"/>
      <c r="I36" s="87"/>
      <c r="J36" s="87"/>
      <c r="K36" s="87"/>
      <c r="L36" s="7"/>
      <c r="M36" s="7"/>
    </row>
    <row r="37" spans="1:13">
      <c r="A37" s="5"/>
      <c r="B37" s="7"/>
      <c r="C37" s="18" t="s">
        <v>50</v>
      </c>
      <c r="D37" s="18" t="s">
        <v>51</v>
      </c>
      <c r="E37" s="18" t="s">
        <v>40</v>
      </c>
      <c r="F37" s="18" t="s">
        <v>659</v>
      </c>
      <c r="G37" s="18" t="s">
        <v>682</v>
      </c>
      <c r="H37" s="7"/>
      <c r="I37" s="7"/>
      <c r="J37" s="7"/>
      <c r="K37" s="7"/>
      <c r="L37" s="7"/>
      <c r="M37" s="7"/>
    </row>
    <row r="38" spans="1:13">
      <c r="A38" s="5"/>
      <c r="B38" s="7"/>
      <c r="C38" s="19"/>
      <c r="D38" s="19"/>
      <c r="E38" s="19"/>
      <c r="F38" s="19"/>
      <c r="G38" s="19"/>
      <c r="H38" s="7"/>
      <c r="I38" s="7"/>
      <c r="J38" s="7"/>
      <c r="K38" s="7"/>
      <c r="L38" s="7"/>
      <c r="M38" s="7"/>
    </row>
    <row r="39" spans="1:13">
      <c r="A39" s="5"/>
      <c r="B39" s="7"/>
      <c r="C39" s="19"/>
      <c r="D39" s="19"/>
      <c r="E39" s="19"/>
      <c r="F39" s="19"/>
      <c r="G39" s="19"/>
      <c r="H39" s="7"/>
      <c r="I39" s="7"/>
      <c r="J39" s="7"/>
      <c r="K39" s="7"/>
      <c r="L39" s="7"/>
      <c r="M39" s="7"/>
    </row>
    <row r="40" spans="1:13">
      <c r="A40" s="5"/>
      <c r="B40" s="7"/>
      <c r="C40" s="19"/>
      <c r="D40" s="19"/>
      <c r="E40" s="19"/>
      <c r="F40" s="19"/>
      <c r="G40" s="19"/>
      <c r="H40" s="7"/>
      <c r="I40" s="7"/>
      <c r="J40" s="7"/>
      <c r="K40" s="7"/>
      <c r="L40" s="7"/>
      <c r="M40" s="7"/>
    </row>
    <row r="41" spans="1:13">
      <c r="A41" s="5"/>
      <c r="B41" s="7"/>
      <c r="C41" s="19"/>
      <c r="D41" s="19"/>
      <c r="E41" s="19"/>
      <c r="F41" s="19"/>
      <c r="G41" s="19"/>
      <c r="H41" s="7"/>
      <c r="I41" s="7"/>
      <c r="J41" s="7"/>
      <c r="K41" s="7"/>
      <c r="L41" s="7"/>
      <c r="M41" s="7"/>
    </row>
    <row r="42" spans="1:13">
      <c r="A42" s="5"/>
      <c r="B42" s="7"/>
      <c r="C42" s="19"/>
      <c r="D42" s="19"/>
      <c r="E42" s="19"/>
      <c r="F42" s="19"/>
      <c r="G42" s="19"/>
      <c r="H42" s="7"/>
      <c r="I42" s="7"/>
      <c r="J42" s="7"/>
      <c r="K42" s="7"/>
      <c r="L42" s="7"/>
      <c r="M42" s="7"/>
    </row>
    <row r="43" spans="1:13">
      <c r="A43" s="5"/>
      <c r="B43" s="7"/>
      <c r="C43" s="19"/>
      <c r="D43" s="19"/>
      <c r="E43" s="19"/>
      <c r="F43" s="19"/>
      <c r="G43" s="19"/>
      <c r="H43" s="7"/>
      <c r="I43" s="7"/>
      <c r="J43" s="7"/>
      <c r="K43" s="7"/>
      <c r="L43" s="7"/>
      <c r="M43" s="7"/>
    </row>
    <row r="44" spans="1:13">
      <c r="A44" s="5"/>
      <c r="B44" s="7"/>
      <c r="C44" s="19"/>
      <c r="D44" s="19"/>
      <c r="E44" s="19"/>
      <c r="F44" s="19"/>
      <c r="G44" s="19"/>
      <c r="H44" s="7"/>
      <c r="I44" s="7"/>
      <c r="J44" s="7"/>
      <c r="K44" s="7"/>
      <c r="L44" s="7"/>
      <c r="M44" s="7"/>
    </row>
    <row r="45" spans="1:13">
      <c r="A45" s="5"/>
      <c r="B45" s="7"/>
      <c r="C45" s="19"/>
      <c r="D45" s="19"/>
      <c r="E45" s="19"/>
      <c r="F45" s="19"/>
      <c r="G45" s="19"/>
      <c r="H45" s="7"/>
      <c r="I45" s="7"/>
      <c r="J45" s="7"/>
      <c r="K45" s="7"/>
      <c r="L45" s="7"/>
      <c r="M45" s="7"/>
    </row>
    <row r="46" spans="1:13">
      <c r="A46" s="5"/>
      <c r="B46" s="7"/>
      <c r="C46" s="19"/>
      <c r="D46" s="19"/>
      <c r="E46" s="19"/>
      <c r="F46" s="19"/>
      <c r="G46" s="19"/>
      <c r="H46" s="7"/>
      <c r="I46" s="7"/>
      <c r="J46" s="7"/>
      <c r="K46" s="7"/>
      <c r="L46" s="7"/>
      <c r="M46" s="7"/>
    </row>
    <row r="47" spans="1:13">
      <c r="A47" s="5"/>
      <c r="B47" s="7"/>
      <c r="C47" s="19"/>
      <c r="D47" s="19"/>
      <c r="E47" s="19"/>
      <c r="F47" s="19"/>
      <c r="G47" s="19"/>
      <c r="H47" s="7"/>
      <c r="I47" s="7"/>
      <c r="J47" s="7"/>
      <c r="K47" s="7"/>
      <c r="L47" s="7"/>
      <c r="M47" s="7"/>
    </row>
    <row r="48" spans="1:13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</row>
    <row r="49" spans="1:13">
      <c r="A49" s="5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</row>
    <row r="50" spans="1:13">
      <c r="A50" s="5"/>
      <c r="B50" s="7"/>
      <c r="C50" s="94" t="s">
        <v>683</v>
      </c>
      <c r="D50" s="87"/>
      <c r="E50" s="87"/>
      <c r="F50" s="87"/>
      <c r="G50" s="87"/>
      <c r="H50" s="87"/>
      <c r="I50" s="87"/>
      <c r="J50" s="87"/>
      <c r="K50" s="87"/>
      <c r="L50" s="7"/>
      <c r="M50" s="7"/>
    </row>
    <row r="51" spans="1:13">
      <c r="A51" s="5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</row>
    <row r="52" spans="1:13">
      <c r="A52" s="5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</row>
    <row r="53" spans="1:13">
      <c r="A53" s="5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</row>
    <row r="54" spans="1:13">
      <c r="A54" s="5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</row>
    <row r="55" spans="1:13">
      <c r="A55" s="5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</row>
    <row r="56" spans="1:13">
      <c r="A56" s="5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</row>
    <row r="57" spans="1:13">
      <c r="A57" s="5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</row>
    <row r="58" spans="1:13">
      <c r="A58" s="5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</row>
  </sheetData>
  <mergeCells count="24">
    <mergeCell ref="C1:J1"/>
    <mergeCell ref="C36:K36"/>
    <mergeCell ref="C8:K8"/>
    <mergeCell ref="D30:F30"/>
    <mergeCell ref="I29:K29"/>
    <mergeCell ref="C7:K7"/>
    <mergeCell ref="D29:F29"/>
    <mergeCell ref="C28:K28"/>
    <mergeCell ref="C2:J2"/>
    <mergeCell ref="C13:K13"/>
    <mergeCell ref="I31:K31"/>
    <mergeCell ref="I30:K30"/>
    <mergeCell ref="C15:K15"/>
    <mergeCell ref="H17:K17"/>
    <mergeCell ref="C5:H5"/>
    <mergeCell ref="C14:K14"/>
    <mergeCell ref="I32:K32"/>
    <mergeCell ref="C17:F17"/>
    <mergeCell ref="C10:K10"/>
    <mergeCell ref="C50:K50"/>
    <mergeCell ref="C9:K9"/>
    <mergeCell ref="C12:K12"/>
    <mergeCell ref="C11:K11"/>
    <mergeCell ref="D31:F31"/>
  </mergeCells>
  <pageMargins left="0.75" right="0.75" top="1" bottom="1" header="0.5" footer="0.5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33">
    <tabColor rgb="FFD4AF37"/>
  </sheetPr>
  <dimension ref="A1:M58"/>
  <sheetViews>
    <sheetView showGridLines="0" workbookViewId="0"/>
  </sheetViews>
  <sheetFormatPr defaultRowHeight="14.4"/>
  <cols>
    <col min="1" max="1" width="24" customWidth="1"/>
    <col min="2" max="2" width="2" customWidth="1"/>
    <col min="3" max="4" width="14" customWidth="1"/>
    <col min="5" max="6" width="12" customWidth="1"/>
    <col min="7" max="7" width="14" customWidth="1"/>
    <col min="8" max="11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684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34.049999999999997" customHeight="1">
      <c r="A7" s="17"/>
      <c r="B7" s="7"/>
      <c r="C7" s="97" t="s">
        <v>685</v>
      </c>
      <c r="D7" s="87"/>
      <c r="E7" s="87"/>
      <c r="F7" s="87"/>
      <c r="G7" s="7"/>
      <c r="H7" s="7"/>
      <c r="I7" s="7"/>
      <c r="J7" s="7"/>
      <c r="K7" s="7"/>
      <c r="L7" s="7"/>
      <c r="M7" s="7"/>
    </row>
    <row r="8" spans="1:13" ht="34.049999999999997" customHeight="1">
      <c r="A8" s="17"/>
      <c r="B8" s="7"/>
      <c r="C8" s="19" t="s">
        <v>73</v>
      </c>
      <c r="D8" s="133" t="s">
        <v>107</v>
      </c>
      <c r="E8" s="87"/>
      <c r="F8" s="87"/>
      <c r="G8" s="7"/>
      <c r="H8" s="7"/>
      <c r="I8" s="7"/>
      <c r="J8" s="7"/>
      <c r="K8" s="7"/>
      <c r="L8" s="7"/>
      <c r="M8" s="7"/>
    </row>
    <row r="9" spans="1:13" ht="34.049999999999997" customHeight="1">
      <c r="A9" s="17"/>
      <c r="B9" s="7"/>
      <c r="C9" s="19" t="s">
        <v>98</v>
      </c>
      <c r="D9" s="133"/>
      <c r="E9" s="87"/>
      <c r="F9" s="87"/>
      <c r="G9" s="7"/>
      <c r="H9" s="7"/>
      <c r="I9" s="7"/>
      <c r="J9" s="7"/>
      <c r="K9" s="7"/>
      <c r="L9" s="7"/>
      <c r="M9" s="7"/>
    </row>
    <row r="10" spans="1:13" ht="34.049999999999997" customHeight="1">
      <c r="A10" s="17"/>
      <c r="B10" s="7"/>
      <c r="C10" s="19" t="s">
        <v>686</v>
      </c>
      <c r="D10" s="133" t="s">
        <v>687</v>
      </c>
      <c r="E10" s="87"/>
      <c r="F10" s="87"/>
      <c r="G10" s="7"/>
      <c r="H10" s="7"/>
      <c r="I10" s="7"/>
      <c r="J10" s="7"/>
      <c r="K10" s="7"/>
      <c r="L10" s="7"/>
      <c r="M10" s="7"/>
    </row>
    <row r="11" spans="1:13" ht="34.049999999999997" customHeight="1">
      <c r="A11" s="15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16.05" customHeight="1">
      <c r="A12" s="17"/>
      <c r="B12" s="7"/>
      <c r="C12" s="130" t="s">
        <v>688</v>
      </c>
      <c r="D12" s="128"/>
      <c r="E12" s="130" t="s">
        <v>689</v>
      </c>
      <c r="F12" s="128"/>
      <c r="G12" s="130" t="s">
        <v>690</v>
      </c>
      <c r="H12" s="128"/>
      <c r="I12" s="130" t="s">
        <v>691</v>
      </c>
      <c r="J12" s="128"/>
      <c r="K12" s="7"/>
      <c r="L12" s="7"/>
      <c r="M12" s="7"/>
    </row>
    <row r="13" spans="1:13" ht="19.95" customHeight="1">
      <c r="A13" s="17"/>
      <c r="B13" s="7"/>
      <c r="C13" s="131" t="s">
        <v>584</v>
      </c>
      <c r="D13" s="128"/>
      <c r="E13" s="131" t="s">
        <v>584</v>
      </c>
      <c r="F13" s="128"/>
      <c r="G13" s="131" t="s">
        <v>584</v>
      </c>
      <c r="H13" s="128"/>
      <c r="I13" s="131" t="s">
        <v>584</v>
      </c>
      <c r="J13" s="128"/>
      <c r="K13" s="7"/>
      <c r="L13" s="7"/>
      <c r="M13" s="7"/>
    </row>
    <row r="14" spans="1:13" ht="16.05" customHeight="1">
      <c r="A14" s="17"/>
      <c r="B14" s="7"/>
      <c r="C14" s="128"/>
      <c r="D14" s="128"/>
      <c r="E14" s="128"/>
      <c r="F14" s="128"/>
      <c r="G14" s="128"/>
      <c r="H14" s="128"/>
      <c r="I14" s="128"/>
      <c r="J14" s="128"/>
      <c r="K14" s="7"/>
      <c r="L14" s="7"/>
      <c r="M14" s="7"/>
    </row>
    <row r="15" spans="1:13" ht="34.049999999999997" customHeight="1">
      <c r="A15" s="1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34.049999999999997" customHeight="1">
      <c r="A16" s="1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34.049999999999997" customHeight="1">
      <c r="A17" s="17"/>
      <c r="B17" s="7"/>
      <c r="C17" s="97" t="s">
        <v>692</v>
      </c>
      <c r="D17" s="87"/>
      <c r="E17" s="87"/>
      <c r="F17" s="87"/>
      <c r="G17" s="7"/>
      <c r="H17" s="97" t="s">
        <v>693</v>
      </c>
      <c r="I17" s="87"/>
      <c r="J17" s="87"/>
      <c r="K17" s="87"/>
      <c r="L17" s="7"/>
      <c r="M17" s="7"/>
    </row>
    <row r="18" spans="1:13" ht="34.049999999999997" customHeight="1">
      <c r="A18" s="17"/>
      <c r="B18" s="7"/>
      <c r="C18" s="18" t="s">
        <v>527</v>
      </c>
      <c r="D18" s="18" t="s">
        <v>694</v>
      </c>
      <c r="E18" s="18" t="s">
        <v>695</v>
      </c>
      <c r="F18" s="18" t="s">
        <v>531</v>
      </c>
      <c r="G18" s="7"/>
      <c r="H18" s="19" t="s">
        <v>15</v>
      </c>
      <c r="I18" s="139"/>
      <c r="J18" s="87"/>
      <c r="K18" s="87"/>
      <c r="L18" s="7"/>
      <c r="M18" s="7"/>
    </row>
    <row r="19" spans="1:13" ht="34.049999999999997" customHeight="1">
      <c r="A19" s="17"/>
      <c r="B19" s="7"/>
      <c r="C19" s="19"/>
      <c r="D19" s="19"/>
      <c r="E19" s="19"/>
      <c r="F19" s="19"/>
      <c r="G19" s="7"/>
      <c r="H19" s="19" t="s">
        <v>333</v>
      </c>
      <c r="I19" s="139"/>
      <c r="J19" s="87"/>
      <c r="K19" s="87"/>
      <c r="L19" s="7"/>
      <c r="M19" s="7"/>
    </row>
    <row r="20" spans="1:13" ht="34.049999999999997" customHeight="1">
      <c r="A20" s="17"/>
      <c r="B20" s="7"/>
      <c r="C20" s="19"/>
      <c r="D20" s="19"/>
      <c r="E20" s="19"/>
      <c r="F20" s="19"/>
      <c r="G20" s="7"/>
      <c r="H20" s="19" t="s">
        <v>696</v>
      </c>
      <c r="I20" s="139"/>
      <c r="J20" s="87"/>
      <c r="K20" s="87"/>
      <c r="L20" s="7"/>
      <c r="M20" s="7"/>
    </row>
    <row r="21" spans="1:13" ht="34.049999999999997" customHeight="1">
      <c r="A21" s="17"/>
      <c r="B21" s="7"/>
      <c r="C21" s="19"/>
      <c r="D21" s="19"/>
      <c r="E21" s="19"/>
      <c r="F21" s="19"/>
      <c r="G21" s="7"/>
      <c r="H21" s="19" t="s">
        <v>697</v>
      </c>
      <c r="I21" s="139"/>
      <c r="J21" s="87"/>
      <c r="K21" s="87"/>
      <c r="L21" s="7"/>
      <c r="M21" s="7"/>
    </row>
    <row r="22" spans="1:13" ht="34.049999999999997" customHeight="1">
      <c r="A22" s="17"/>
      <c r="B22" s="7"/>
      <c r="C22" s="19"/>
      <c r="D22" s="19"/>
      <c r="E22" s="19"/>
      <c r="F22" s="19"/>
      <c r="G22" s="7"/>
      <c r="H22" s="7"/>
      <c r="I22" s="7"/>
      <c r="J22" s="7"/>
      <c r="K22" s="7"/>
      <c r="L22" s="7"/>
      <c r="M22" s="7"/>
    </row>
    <row r="23" spans="1:13" ht="34.049999999999997" customHeight="1">
      <c r="A23" s="17"/>
      <c r="B23" s="7"/>
      <c r="C23" s="19"/>
      <c r="D23" s="19"/>
      <c r="E23" s="19"/>
      <c r="F23" s="19"/>
      <c r="G23" s="7"/>
      <c r="H23" s="7"/>
      <c r="I23" s="7"/>
      <c r="J23" s="7"/>
      <c r="K23" s="7"/>
      <c r="L23" s="7"/>
      <c r="M23" s="7"/>
    </row>
    <row r="24" spans="1:13">
      <c r="A24" s="5"/>
      <c r="B24" s="7"/>
      <c r="C24" s="19"/>
      <c r="D24" s="19"/>
      <c r="E24" s="19"/>
      <c r="F24" s="19"/>
      <c r="G24" s="7"/>
      <c r="H24" s="7"/>
      <c r="I24" s="7"/>
      <c r="J24" s="7"/>
      <c r="K24" s="7"/>
      <c r="L24" s="7"/>
      <c r="M24" s="7"/>
    </row>
    <row r="25" spans="1:13">
      <c r="A25" s="5"/>
      <c r="B25" s="7"/>
      <c r="C25" s="19"/>
      <c r="D25" s="19"/>
      <c r="E25" s="19"/>
      <c r="F25" s="19"/>
      <c r="G25" s="7"/>
      <c r="H25" s="7"/>
      <c r="I25" s="7"/>
      <c r="J25" s="7"/>
      <c r="K25" s="7"/>
      <c r="L25" s="7"/>
      <c r="M25" s="7"/>
    </row>
    <row r="26" spans="1:13">
      <c r="A26" s="5"/>
      <c r="B26" s="7"/>
      <c r="C26" s="19"/>
      <c r="D26" s="19"/>
      <c r="E26" s="19"/>
      <c r="F26" s="19"/>
      <c r="G26" s="7"/>
      <c r="H26" s="7"/>
      <c r="I26" s="7"/>
      <c r="J26" s="7"/>
      <c r="K26" s="7"/>
      <c r="L26" s="7"/>
      <c r="M26" s="7"/>
    </row>
    <row r="27" spans="1:13">
      <c r="A27" s="5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13" ht="18">
      <c r="A28" s="5"/>
      <c r="B28" s="7"/>
      <c r="C28" s="97" t="s">
        <v>698</v>
      </c>
      <c r="D28" s="87"/>
      <c r="E28" s="87"/>
      <c r="F28" s="87"/>
      <c r="G28" s="7"/>
      <c r="H28" s="97" t="s">
        <v>699</v>
      </c>
      <c r="I28" s="87"/>
      <c r="J28" s="87"/>
      <c r="K28" s="87"/>
      <c r="L28" s="7"/>
      <c r="M28" s="7"/>
    </row>
    <row r="29" spans="1:13">
      <c r="A29" s="5"/>
      <c r="B29" s="7"/>
      <c r="C29" s="18" t="s">
        <v>217</v>
      </c>
      <c r="D29" s="18" t="s">
        <v>346</v>
      </c>
      <c r="E29" s="18" t="s">
        <v>347</v>
      </c>
      <c r="F29" s="7"/>
      <c r="G29" s="7"/>
      <c r="H29" s="19" t="s">
        <v>179</v>
      </c>
      <c r="I29" s="133"/>
      <c r="J29" s="87"/>
      <c r="K29" s="87"/>
      <c r="L29" s="7"/>
      <c r="M29" s="7"/>
    </row>
    <row r="30" spans="1:13">
      <c r="A30" s="5"/>
      <c r="B30" s="7"/>
      <c r="C30" s="19"/>
      <c r="D30" s="19"/>
      <c r="E30" s="19"/>
      <c r="F30" s="7"/>
      <c r="G30" s="7"/>
      <c r="H30" s="19" t="s">
        <v>180</v>
      </c>
      <c r="I30" s="133"/>
      <c r="J30" s="87"/>
      <c r="K30" s="87"/>
      <c r="L30" s="7"/>
      <c r="M30" s="7"/>
    </row>
    <row r="31" spans="1:13">
      <c r="A31" s="5"/>
      <c r="B31" s="7"/>
      <c r="C31" s="19"/>
      <c r="D31" s="19"/>
      <c r="E31" s="19"/>
      <c r="F31" s="7"/>
      <c r="G31" s="7"/>
      <c r="H31" s="19" t="s">
        <v>181</v>
      </c>
      <c r="I31" s="133"/>
      <c r="J31" s="87"/>
      <c r="K31" s="87"/>
      <c r="L31" s="7"/>
      <c r="M31" s="7"/>
    </row>
    <row r="32" spans="1:13">
      <c r="A32" s="5"/>
      <c r="B32" s="7"/>
      <c r="C32" s="19"/>
      <c r="D32" s="19"/>
      <c r="E32" s="19"/>
      <c r="F32" s="7"/>
      <c r="G32" s="7"/>
      <c r="H32" s="19" t="s">
        <v>106</v>
      </c>
      <c r="I32" s="133"/>
      <c r="J32" s="87"/>
      <c r="K32" s="87"/>
      <c r="L32" s="7"/>
      <c r="M32" s="7"/>
    </row>
    <row r="33" spans="1:13">
      <c r="A33" s="5"/>
      <c r="B33" s="7"/>
      <c r="C33" s="19"/>
      <c r="D33" s="19"/>
      <c r="E33" s="19"/>
      <c r="F33" s="7"/>
      <c r="G33" s="7"/>
      <c r="H33" s="19" t="s">
        <v>700</v>
      </c>
      <c r="I33" s="133"/>
      <c r="J33" s="87"/>
      <c r="K33" s="87"/>
      <c r="L33" s="7"/>
      <c r="M33" s="7"/>
    </row>
    <row r="34" spans="1:13">
      <c r="A34" s="5"/>
      <c r="B34" s="7"/>
      <c r="C34" s="19"/>
      <c r="D34" s="19"/>
      <c r="E34" s="19"/>
      <c r="F34" s="7"/>
      <c r="G34" s="7"/>
      <c r="H34" s="7"/>
      <c r="I34" s="7"/>
      <c r="J34" s="7"/>
      <c r="K34" s="7"/>
      <c r="L34" s="7"/>
      <c r="M34" s="7"/>
    </row>
    <row r="35" spans="1:13">
      <c r="A35" s="5"/>
      <c r="B35" s="7"/>
      <c r="C35" s="19"/>
      <c r="D35" s="19"/>
      <c r="E35" s="19"/>
      <c r="F35" s="7"/>
      <c r="G35" s="7"/>
      <c r="H35" s="7"/>
      <c r="I35" s="7"/>
      <c r="J35" s="7"/>
      <c r="K35" s="7"/>
      <c r="L35" s="7"/>
      <c r="M35" s="7"/>
    </row>
    <row r="36" spans="1:13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1:13" ht="18">
      <c r="A37" s="5"/>
      <c r="B37" s="7"/>
      <c r="C37" s="97" t="s">
        <v>701</v>
      </c>
      <c r="D37" s="87"/>
      <c r="E37" s="87"/>
      <c r="F37" s="87"/>
      <c r="G37" s="7"/>
      <c r="H37" s="97" t="s">
        <v>702</v>
      </c>
      <c r="I37" s="87"/>
      <c r="J37" s="87"/>
      <c r="K37" s="87"/>
      <c r="L37" s="7"/>
      <c r="M37" s="7"/>
    </row>
    <row r="38" spans="1:13">
      <c r="A38" s="5"/>
      <c r="B38" s="7"/>
      <c r="C38" s="18" t="s">
        <v>703</v>
      </c>
      <c r="D38" s="18" t="s">
        <v>40</v>
      </c>
      <c r="E38" s="18" t="s">
        <v>51</v>
      </c>
      <c r="F38" s="18" t="s">
        <v>55</v>
      </c>
      <c r="G38" s="7"/>
      <c r="H38" s="133"/>
      <c r="I38" s="87"/>
      <c r="J38" s="87"/>
      <c r="K38" s="87"/>
      <c r="L38" s="7"/>
      <c r="M38" s="7"/>
    </row>
    <row r="39" spans="1:13">
      <c r="A39" s="5"/>
      <c r="B39" s="7"/>
      <c r="C39" s="19"/>
      <c r="D39" s="19"/>
      <c r="E39" s="19"/>
      <c r="F39" s="19"/>
      <c r="G39" s="7"/>
      <c r="H39" s="133"/>
      <c r="I39" s="87"/>
      <c r="J39" s="87"/>
      <c r="K39" s="87"/>
      <c r="L39" s="7"/>
      <c r="M39" s="7"/>
    </row>
    <row r="40" spans="1:13">
      <c r="A40" s="5"/>
      <c r="B40" s="7"/>
      <c r="C40" s="19"/>
      <c r="D40" s="19"/>
      <c r="E40" s="19"/>
      <c r="F40" s="19"/>
      <c r="G40" s="7"/>
      <c r="H40" s="133"/>
      <c r="I40" s="87"/>
      <c r="J40" s="87"/>
      <c r="K40" s="87"/>
      <c r="L40" s="7"/>
      <c r="M40" s="7"/>
    </row>
    <row r="41" spans="1:13">
      <c r="A41" s="5"/>
      <c r="B41" s="7"/>
      <c r="C41" s="19"/>
      <c r="D41" s="19"/>
      <c r="E41" s="19"/>
      <c r="F41" s="19"/>
      <c r="G41" s="7"/>
      <c r="H41" s="133"/>
      <c r="I41" s="87"/>
      <c r="J41" s="87"/>
      <c r="K41" s="87"/>
      <c r="L41" s="7"/>
      <c r="M41" s="7"/>
    </row>
    <row r="42" spans="1:13">
      <c r="A42" s="5"/>
      <c r="B42" s="7"/>
      <c r="C42" s="19"/>
      <c r="D42" s="19"/>
      <c r="E42" s="19"/>
      <c r="F42" s="19"/>
      <c r="G42" s="7"/>
      <c r="H42" s="133"/>
      <c r="I42" s="87"/>
      <c r="J42" s="87"/>
      <c r="K42" s="87"/>
      <c r="L42" s="7"/>
      <c r="M42" s="7"/>
    </row>
    <row r="43" spans="1:13">
      <c r="A43" s="5"/>
      <c r="B43" s="7"/>
      <c r="C43" s="19"/>
      <c r="D43" s="19"/>
      <c r="E43" s="19"/>
      <c r="F43" s="19"/>
      <c r="G43" s="7"/>
      <c r="H43" s="133"/>
      <c r="I43" s="87"/>
      <c r="J43" s="87"/>
      <c r="K43" s="87"/>
      <c r="L43" s="7"/>
      <c r="M43" s="7"/>
    </row>
    <row r="44" spans="1:13">
      <c r="A44" s="5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</row>
    <row r="45" spans="1:13">
      <c r="A45" s="5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</row>
    <row r="46" spans="1:13" ht="18">
      <c r="A46" s="5"/>
      <c r="B46" s="7"/>
      <c r="C46" s="97" t="s">
        <v>704</v>
      </c>
      <c r="D46" s="87"/>
      <c r="E46" s="87"/>
      <c r="F46" s="87"/>
      <c r="G46" s="87"/>
      <c r="H46" s="87"/>
      <c r="I46" s="87"/>
      <c r="J46" s="87"/>
      <c r="K46" s="87"/>
      <c r="L46" s="7"/>
      <c r="M46" s="7"/>
    </row>
    <row r="47" spans="1:13">
      <c r="A47" s="5"/>
      <c r="B47" s="7"/>
      <c r="C47" s="133"/>
      <c r="D47" s="87"/>
      <c r="E47" s="87"/>
      <c r="F47" s="87"/>
      <c r="G47" s="87"/>
      <c r="H47" s="87"/>
      <c r="I47" s="87"/>
      <c r="J47" s="87"/>
      <c r="K47" s="87"/>
      <c r="L47" s="7"/>
      <c r="M47" s="7"/>
    </row>
    <row r="48" spans="1:13">
      <c r="A48" s="5"/>
      <c r="B48" s="7"/>
      <c r="C48" s="133"/>
      <c r="D48" s="87"/>
      <c r="E48" s="87"/>
      <c r="F48" s="87"/>
      <c r="G48" s="87"/>
      <c r="H48" s="87"/>
      <c r="I48" s="87"/>
      <c r="J48" s="87"/>
      <c r="K48" s="87"/>
      <c r="L48" s="7"/>
      <c r="M48" s="7"/>
    </row>
    <row r="49" spans="1:13">
      <c r="A49" s="5"/>
      <c r="B49" s="7"/>
      <c r="C49" s="133"/>
      <c r="D49" s="87"/>
      <c r="E49" s="87"/>
      <c r="F49" s="87"/>
      <c r="G49" s="87"/>
      <c r="H49" s="87"/>
      <c r="I49" s="87"/>
      <c r="J49" s="87"/>
      <c r="K49" s="87"/>
      <c r="L49" s="7"/>
      <c r="M49" s="7"/>
    </row>
    <row r="50" spans="1:13">
      <c r="A50" s="5"/>
      <c r="B50" s="7"/>
      <c r="C50" s="133"/>
      <c r="D50" s="87"/>
      <c r="E50" s="87"/>
      <c r="F50" s="87"/>
      <c r="G50" s="87"/>
      <c r="H50" s="87"/>
      <c r="I50" s="87"/>
      <c r="J50" s="87"/>
      <c r="K50" s="87"/>
      <c r="L50" s="7"/>
      <c r="M50" s="7"/>
    </row>
    <row r="51" spans="1:13">
      <c r="A51" s="5"/>
      <c r="B51" s="7"/>
      <c r="C51" s="133"/>
      <c r="D51" s="87"/>
      <c r="E51" s="87"/>
      <c r="F51" s="87"/>
      <c r="G51" s="87"/>
      <c r="H51" s="87"/>
      <c r="I51" s="87"/>
      <c r="J51" s="87"/>
      <c r="K51" s="87"/>
      <c r="L51" s="7"/>
      <c r="M51" s="7"/>
    </row>
    <row r="52" spans="1:13">
      <c r="A52" s="5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</row>
    <row r="53" spans="1:13">
      <c r="A53" s="5"/>
      <c r="B53" s="7"/>
      <c r="C53" s="94" t="s">
        <v>705</v>
      </c>
      <c r="D53" s="87"/>
      <c r="E53" s="87"/>
      <c r="F53" s="87"/>
      <c r="G53" s="87"/>
      <c r="H53" s="87"/>
      <c r="I53" s="87"/>
      <c r="J53" s="87"/>
      <c r="K53" s="87"/>
      <c r="L53" s="7"/>
      <c r="M53" s="7"/>
    </row>
    <row r="54" spans="1:13">
      <c r="A54" s="5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</row>
    <row r="55" spans="1:13">
      <c r="A55" s="5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</row>
    <row r="56" spans="1:13">
      <c r="A56" s="5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</row>
    <row r="57" spans="1:13">
      <c r="A57" s="5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</row>
    <row r="58" spans="1:13">
      <c r="A58" s="5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</row>
  </sheetData>
  <mergeCells count="43">
    <mergeCell ref="C2:J2"/>
    <mergeCell ref="I31:K31"/>
    <mergeCell ref="C53:K53"/>
    <mergeCell ref="C49:K49"/>
    <mergeCell ref="I30:K30"/>
    <mergeCell ref="E13:F14"/>
    <mergeCell ref="D10:F10"/>
    <mergeCell ref="G13:H14"/>
    <mergeCell ref="H17:K17"/>
    <mergeCell ref="C5:H5"/>
    <mergeCell ref="H37:K37"/>
    <mergeCell ref="C51:K51"/>
    <mergeCell ref="C1:J1"/>
    <mergeCell ref="H38:K38"/>
    <mergeCell ref="D9:F9"/>
    <mergeCell ref="C48:K48"/>
    <mergeCell ref="C13:D14"/>
    <mergeCell ref="D8:F8"/>
    <mergeCell ref="I20:K20"/>
    <mergeCell ref="H43:K43"/>
    <mergeCell ref="I29:K29"/>
    <mergeCell ref="H41:K41"/>
    <mergeCell ref="I19:K19"/>
    <mergeCell ref="C12:D12"/>
    <mergeCell ref="I12:J12"/>
    <mergeCell ref="H40:K40"/>
    <mergeCell ref="H39:K39"/>
    <mergeCell ref="C50:K50"/>
    <mergeCell ref="C7:F7"/>
    <mergeCell ref="I18:K18"/>
    <mergeCell ref="I21:K21"/>
    <mergeCell ref="C37:F37"/>
    <mergeCell ref="C28:F28"/>
    <mergeCell ref="H42:K42"/>
    <mergeCell ref="C46:K46"/>
    <mergeCell ref="I13:J14"/>
    <mergeCell ref="I33:K33"/>
    <mergeCell ref="C47:K47"/>
    <mergeCell ref="E12:F12"/>
    <mergeCell ref="H28:K28"/>
    <mergeCell ref="I32:K32"/>
    <mergeCell ref="G12:H12"/>
    <mergeCell ref="C17:F17"/>
  </mergeCells>
  <pageMargins left="0.75" right="0.75" top="1" bottom="1" header="0.5" footer="0.5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4">
    <tabColor rgb="FFD4AF37"/>
  </sheetPr>
  <dimension ref="A1:M48"/>
  <sheetViews>
    <sheetView showGridLines="0" workbookViewId="0"/>
  </sheetViews>
  <sheetFormatPr defaultRowHeight="14.4"/>
  <cols>
    <col min="1" max="1" width="24" customWidth="1"/>
    <col min="2" max="2" width="2" customWidth="1"/>
    <col min="3" max="4" width="14" customWidth="1"/>
    <col min="5" max="6" width="12" customWidth="1"/>
    <col min="7" max="7" width="14" customWidth="1"/>
    <col min="8" max="10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706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16.05" customHeight="1">
      <c r="A7" s="17"/>
      <c r="B7" s="7"/>
      <c r="C7" s="130" t="s">
        <v>707</v>
      </c>
      <c r="D7" s="128"/>
      <c r="E7" s="130" t="s">
        <v>518</v>
      </c>
      <c r="F7" s="128"/>
      <c r="G7" s="130" t="s">
        <v>708</v>
      </c>
      <c r="H7" s="128"/>
      <c r="I7" s="130" t="s">
        <v>709</v>
      </c>
      <c r="J7" s="128"/>
      <c r="K7" s="7"/>
      <c r="L7" s="7"/>
      <c r="M7" s="7"/>
    </row>
    <row r="8" spans="1:13" ht="19.95" customHeight="1">
      <c r="A8" s="17"/>
      <c r="B8" s="7"/>
      <c r="C8" s="131">
        <v>0</v>
      </c>
      <c r="D8" s="128"/>
      <c r="E8" s="131">
        <v>0</v>
      </c>
      <c r="F8" s="128"/>
      <c r="G8" s="131">
        <v>0</v>
      </c>
      <c r="H8" s="128"/>
      <c r="I8" s="131">
        <v>0</v>
      </c>
      <c r="J8" s="128"/>
      <c r="K8" s="7"/>
      <c r="L8" s="7"/>
      <c r="M8" s="7"/>
    </row>
    <row r="9" spans="1:13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</row>
    <row r="10" spans="1:13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34.049999999999997" customHeight="1">
      <c r="A11" s="1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34.049999999999997" customHeight="1">
      <c r="A12" s="17"/>
      <c r="B12" s="7"/>
      <c r="C12" s="97" t="s">
        <v>710</v>
      </c>
      <c r="D12" s="87"/>
      <c r="E12" s="87"/>
      <c r="F12" s="87"/>
      <c r="G12" s="7"/>
      <c r="H12" s="97" t="s">
        <v>711</v>
      </c>
      <c r="I12" s="87"/>
      <c r="J12" s="87"/>
      <c r="K12" s="87"/>
      <c r="L12" s="7"/>
      <c r="M12" s="7"/>
    </row>
    <row r="13" spans="1:13" ht="34.049999999999997" customHeight="1">
      <c r="A13" s="17"/>
      <c r="B13" s="7"/>
      <c r="C13" s="19" t="s">
        <v>73</v>
      </c>
      <c r="D13" s="133" t="s">
        <v>107</v>
      </c>
      <c r="E13" s="87"/>
      <c r="F13" s="87"/>
      <c r="G13" s="7"/>
      <c r="H13" s="18" t="s">
        <v>26</v>
      </c>
      <c r="I13" s="18" t="s">
        <v>177</v>
      </c>
      <c r="J13" s="18" t="s">
        <v>294</v>
      </c>
      <c r="K13" s="7"/>
      <c r="L13" s="7"/>
      <c r="M13" s="7"/>
    </row>
    <row r="14" spans="1:13" ht="34.049999999999997" customHeight="1">
      <c r="A14" s="17"/>
      <c r="B14" s="7"/>
      <c r="C14" s="19" t="s">
        <v>98</v>
      </c>
      <c r="D14" s="133"/>
      <c r="E14" s="87"/>
      <c r="F14" s="87"/>
      <c r="G14" s="7"/>
      <c r="H14" s="19"/>
      <c r="I14" s="19"/>
      <c r="J14" s="19"/>
      <c r="K14" s="7"/>
      <c r="L14" s="7"/>
      <c r="M14" s="7"/>
    </row>
    <row r="15" spans="1:13" ht="34.049999999999997" customHeight="1">
      <c r="A15" s="17"/>
      <c r="B15" s="7"/>
      <c r="C15" s="19" t="s">
        <v>15</v>
      </c>
      <c r="D15" s="133"/>
      <c r="E15" s="87"/>
      <c r="F15" s="87"/>
      <c r="G15" s="7"/>
      <c r="H15" s="19"/>
      <c r="I15" s="19"/>
      <c r="J15" s="19"/>
      <c r="K15" s="7"/>
      <c r="L15" s="7"/>
      <c r="M15" s="7"/>
    </row>
    <row r="16" spans="1:13" ht="34.049999999999997" customHeight="1">
      <c r="A16" s="17"/>
      <c r="B16" s="7"/>
      <c r="C16" s="19" t="s">
        <v>712</v>
      </c>
      <c r="D16" s="133"/>
      <c r="E16" s="87"/>
      <c r="F16" s="87"/>
      <c r="G16" s="7"/>
      <c r="H16" s="19"/>
      <c r="I16" s="19"/>
      <c r="J16" s="19"/>
      <c r="K16" s="7"/>
      <c r="L16" s="7"/>
      <c r="M16" s="7"/>
    </row>
    <row r="17" spans="1:13" ht="34.049999999999997" customHeight="1">
      <c r="A17" s="17"/>
      <c r="B17" s="7"/>
      <c r="C17" s="19" t="s">
        <v>713</v>
      </c>
      <c r="D17" s="133"/>
      <c r="E17" s="87"/>
      <c r="F17" s="87"/>
      <c r="G17" s="7"/>
      <c r="H17" s="19"/>
      <c r="I17" s="19"/>
      <c r="J17" s="19"/>
      <c r="K17" s="7"/>
      <c r="L17" s="7"/>
      <c r="M17" s="7"/>
    </row>
    <row r="18" spans="1:13" ht="34.049999999999997" customHeight="1">
      <c r="A18" s="17"/>
      <c r="B18" s="7"/>
      <c r="C18" s="7"/>
      <c r="D18" s="7"/>
      <c r="E18" s="7"/>
      <c r="F18" s="7"/>
      <c r="G18" s="7"/>
      <c r="H18" s="19"/>
      <c r="I18" s="19"/>
      <c r="J18" s="19"/>
      <c r="K18" s="7"/>
      <c r="L18" s="7"/>
      <c r="M18" s="7"/>
    </row>
    <row r="19" spans="1:13" ht="34.049999999999997" customHeight="1">
      <c r="A19" s="17"/>
      <c r="B19" s="7"/>
      <c r="C19" s="7"/>
      <c r="D19" s="7"/>
      <c r="E19" s="7"/>
      <c r="F19" s="7"/>
      <c r="G19" s="7"/>
      <c r="H19" s="19"/>
      <c r="I19" s="19"/>
      <c r="J19" s="19"/>
      <c r="K19" s="7"/>
      <c r="L19" s="7"/>
      <c r="M19" s="7"/>
    </row>
    <row r="20" spans="1:13" ht="34.049999999999997" customHeight="1">
      <c r="A20" s="17"/>
      <c r="B20" s="7"/>
      <c r="C20" s="7"/>
      <c r="D20" s="7"/>
      <c r="E20" s="7"/>
      <c r="F20" s="7"/>
      <c r="G20" s="7"/>
      <c r="H20" s="19"/>
      <c r="I20" s="19"/>
      <c r="J20" s="19"/>
      <c r="K20" s="7"/>
      <c r="L20" s="7"/>
      <c r="M20" s="7"/>
    </row>
    <row r="21" spans="1:13" ht="34.049999999999997" customHeight="1">
      <c r="A21" s="17"/>
      <c r="B21" s="7"/>
      <c r="C21" s="7"/>
      <c r="D21" s="7"/>
      <c r="E21" s="7"/>
      <c r="F21" s="7"/>
      <c r="G21" s="7"/>
      <c r="H21" s="19"/>
      <c r="I21" s="19"/>
      <c r="J21" s="19"/>
      <c r="K21" s="7"/>
      <c r="L21" s="7"/>
      <c r="M21" s="7"/>
    </row>
    <row r="22" spans="1:13" ht="34.049999999999997" customHeight="1">
      <c r="A22" s="1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34.049999999999997" customHeight="1">
      <c r="A23" s="1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18">
      <c r="A24" s="5"/>
      <c r="B24" s="7"/>
      <c r="C24" s="97" t="s">
        <v>714</v>
      </c>
      <c r="D24" s="87"/>
      <c r="E24" s="87"/>
      <c r="F24" s="87"/>
      <c r="G24" s="87"/>
      <c r="H24" s="87"/>
      <c r="I24" s="87"/>
      <c r="J24" s="87"/>
      <c r="K24" s="87"/>
      <c r="L24" s="7"/>
      <c r="M24" s="7"/>
    </row>
    <row r="25" spans="1:13">
      <c r="A25" s="5"/>
      <c r="B25" s="7"/>
      <c r="C25" s="133"/>
      <c r="D25" s="87"/>
      <c r="E25" s="87"/>
      <c r="F25" s="87"/>
      <c r="G25" s="87"/>
      <c r="H25" s="87"/>
      <c r="I25" s="87"/>
      <c r="J25" s="87"/>
      <c r="K25" s="87"/>
      <c r="L25" s="7"/>
      <c r="M25" s="7"/>
    </row>
    <row r="26" spans="1:13">
      <c r="A26" s="5"/>
      <c r="B26" s="7"/>
      <c r="C26" s="133"/>
      <c r="D26" s="87"/>
      <c r="E26" s="87"/>
      <c r="F26" s="87"/>
      <c r="G26" s="87"/>
      <c r="H26" s="87"/>
      <c r="I26" s="87"/>
      <c r="J26" s="87"/>
      <c r="K26" s="87"/>
      <c r="L26" s="7"/>
      <c r="M26" s="7"/>
    </row>
    <row r="27" spans="1:13">
      <c r="A27" s="5"/>
      <c r="B27" s="7"/>
      <c r="C27" s="133"/>
      <c r="D27" s="87"/>
      <c r="E27" s="87"/>
      <c r="F27" s="87"/>
      <c r="G27" s="87"/>
      <c r="H27" s="87"/>
      <c r="I27" s="87"/>
      <c r="J27" s="87"/>
      <c r="K27" s="87"/>
      <c r="L27" s="7"/>
      <c r="M27" s="7"/>
    </row>
    <row r="28" spans="1:13">
      <c r="A28" s="5"/>
      <c r="B28" s="7"/>
      <c r="C28" s="133"/>
      <c r="D28" s="87"/>
      <c r="E28" s="87"/>
      <c r="F28" s="87"/>
      <c r="G28" s="87"/>
      <c r="H28" s="87"/>
      <c r="I28" s="87"/>
      <c r="J28" s="87"/>
      <c r="K28" s="87"/>
      <c r="L28" s="7"/>
      <c r="M28" s="7"/>
    </row>
    <row r="29" spans="1:13">
      <c r="A29" s="5"/>
      <c r="B29" s="7"/>
      <c r="C29" s="133"/>
      <c r="D29" s="87"/>
      <c r="E29" s="87"/>
      <c r="F29" s="87"/>
      <c r="G29" s="87"/>
      <c r="H29" s="87"/>
      <c r="I29" s="87"/>
      <c r="J29" s="87"/>
      <c r="K29" s="87"/>
      <c r="L29" s="7"/>
      <c r="M29" s="7"/>
    </row>
    <row r="30" spans="1:13">
      <c r="A30" s="5"/>
      <c r="B30" s="7"/>
      <c r="C30" s="133"/>
      <c r="D30" s="87"/>
      <c r="E30" s="87"/>
      <c r="F30" s="87"/>
      <c r="G30" s="87"/>
      <c r="H30" s="87"/>
      <c r="I30" s="87"/>
      <c r="J30" s="87"/>
      <c r="K30" s="87"/>
      <c r="L30" s="7"/>
      <c r="M30" s="7"/>
    </row>
    <row r="31" spans="1:13">
      <c r="A31" s="5"/>
      <c r="B31" s="7"/>
      <c r="C31" s="133"/>
      <c r="D31" s="87"/>
      <c r="E31" s="87"/>
      <c r="F31" s="87"/>
      <c r="G31" s="87"/>
      <c r="H31" s="87"/>
      <c r="I31" s="87"/>
      <c r="J31" s="87"/>
      <c r="K31" s="87"/>
      <c r="L31" s="7"/>
      <c r="M31" s="7"/>
    </row>
    <row r="32" spans="1:13">
      <c r="A32" s="5"/>
      <c r="B32" s="7"/>
      <c r="C32" s="133"/>
      <c r="D32" s="87"/>
      <c r="E32" s="87"/>
      <c r="F32" s="87"/>
      <c r="G32" s="87"/>
      <c r="H32" s="87"/>
      <c r="I32" s="87"/>
      <c r="J32" s="87"/>
      <c r="K32" s="87"/>
      <c r="L32" s="7"/>
      <c r="M32" s="7"/>
    </row>
    <row r="33" spans="1:13">
      <c r="A33" s="5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13">
      <c r="A34" s="5"/>
      <c r="B34" s="7"/>
      <c r="C34" s="19" t="s">
        <v>715</v>
      </c>
      <c r="D34" s="133"/>
      <c r="E34" s="87"/>
      <c r="F34" s="87"/>
      <c r="G34" s="87"/>
      <c r="H34" s="87"/>
      <c r="I34" s="87"/>
      <c r="J34" s="87"/>
      <c r="K34" s="87"/>
      <c r="L34" s="7"/>
      <c r="M34" s="7"/>
    </row>
    <row r="35" spans="1:13">
      <c r="A35" s="5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</row>
    <row r="36" spans="1:13" ht="36" customHeight="1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1:13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1" spans="1:13">
      <c r="A41" s="5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</row>
    <row r="42" spans="1:13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  <row r="43" spans="1:13">
      <c r="A43" s="5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spans="1:13">
      <c r="A44" s="5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</row>
    <row r="45" spans="1:13">
      <c r="A45" s="5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</row>
    <row r="46" spans="1:13">
      <c r="A46" s="5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</row>
    <row r="47" spans="1:13">
      <c r="A47" s="5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</row>
    <row r="48" spans="1:13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</row>
  </sheetData>
  <mergeCells count="28">
    <mergeCell ref="C1:J1"/>
    <mergeCell ref="I7:J7"/>
    <mergeCell ref="D15:F15"/>
    <mergeCell ref="C32:K32"/>
    <mergeCell ref="D14:F14"/>
    <mergeCell ref="C28:K28"/>
    <mergeCell ref="C2:J2"/>
    <mergeCell ref="E8:F9"/>
    <mergeCell ref="G8:H9"/>
    <mergeCell ref="C24:K24"/>
    <mergeCell ref="C30:K30"/>
    <mergeCell ref="C7:D7"/>
    <mergeCell ref="E7:F7"/>
    <mergeCell ref="C5:H5"/>
    <mergeCell ref="C12:F12"/>
    <mergeCell ref="C26:K26"/>
    <mergeCell ref="I8:J9"/>
    <mergeCell ref="D16:F16"/>
    <mergeCell ref="C8:D9"/>
    <mergeCell ref="C27:K27"/>
    <mergeCell ref="G7:H7"/>
    <mergeCell ref="D13:F13"/>
    <mergeCell ref="C25:K25"/>
    <mergeCell ref="D34:K34"/>
    <mergeCell ref="H12:K12"/>
    <mergeCell ref="D17:F17"/>
    <mergeCell ref="C31:K31"/>
    <mergeCell ref="C29:K29"/>
  </mergeCells>
  <pageMargins left="0.75" right="0.75" top="1" bottom="1" header="0.5" footer="0.5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5">
    <tabColor rgb="FFD4AF37"/>
  </sheetPr>
  <dimension ref="A1:M44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14" customWidth="1"/>
    <col min="4" max="6" width="12" customWidth="1"/>
    <col min="7" max="7" width="14" customWidth="1"/>
    <col min="8" max="10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716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34.049999999999997" customHeight="1">
      <c r="A7" s="17"/>
      <c r="B7" s="7"/>
      <c r="C7" s="97" t="s">
        <v>717</v>
      </c>
      <c r="D7" s="87"/>
      <c r="E7" s="87"/>
      <c r="F7" s="87"/>
      <c r="G7" s="7"/>
      <c r="H7" s="7"/>
      <c r="I7" s="7"/>
      <c r="J7" s="7"/>
      <c r="K7" s="7"/>
      <c r="L7" s="7"/>
      <c r="M7" s="7"/>
    </row>
    <row r="8" spans="1:13" ht="16.05" customHeight="1">
      <c r="A8" s="17"/>
      <c r="B8" s="7"/>
      <c r="C8" s="130" t="s">
        <v>387</v>
      </c>
      <c r="D8" s="128"/>
      <c r="E8" s="130" t="s">
        <v>718</v>
      </c>
      <c r="F8" s="128"/>
      <c r="G8" s="130" t="s">
        <v>719</v>
      </c>
      <c r="H8" s="128"/>
      <c r="I8" s="130" t="s">
        <v>388</v>
      </c>
      <c r="J8" s="128"/>
      <c r="K8" s="7"/>
      <c r="L8" s="7"/>
      <c r="M8" s="7"/>
    </row>
    <row r="9" spans="1:13" ht="19.95" customHeight="1">
      <c r="A9" s="17"/>
      <c r="B9" s="7"/>
      <c r="C9" s="131">
        <v>0</v>
      </c>
      <c r="D9" s="128"/>
      <c r="E9" s="131">
        <v>0</v>
      </c>
      <c r="F9" s="128"/>
      <c r="G9" s="131">
        <v>0</v>
      </c>
      <c r="H9" s="128"/>
      <c r="I9" s="131">
        <v>0</v>
      </c>
      <c r="J9" s="128"/>
      <c r="K9" s="7"/>
      <c r="L9" s="7"/>
      <c r="M9" s="7"/>
    </row>
    <row r="10" spans="1:13" ht="16.05" customHeight="1">
      <c r="A10" s="17"/>
      <c r="B10" s="7"/>
      <c r="C10" s="128"/>
      <c r="D10" s="128"/>
      <c r="E10" s="128"/>
      <c r="F10" s="128"/>
      <c r="G10" s="128"/>
      <c r="H10" s="128"/>
      <c r="I10" s="128"/>
      <c r="J10" s="128"/>
      <c r="K10" s="7"/>
      <c r="L10" s="7"/>
      <c r="M10" s="7"/>
    </row>
    <row r="11" spans="1:13" ht="34.049999999999997" customHeight="1">
      <c r="A11" s="1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34.049999999999997" customHeight="1">
      <c r="A12" s="15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34.049999999999997" customHeight="1">
      <c r="A13" s="17"/>
      <c r="B13" s="7"/>
      <c r="C13" s="97" t="s">
        <v>720</v>
      </c>
      <c r="D13" s="87"/>
      <c r="E13" s="87"/>
      <c r="F13" s="87"/>
      <c r="G13" s="7"/>
      <c r="H13" s="7"/>
      <c r="I13" s="7"/>
      <c r="J13" s="7"/>
      <c r="K13" s="7"/>
      <c r="L13" s="7"/>
      <c r="M13" s="7"/>
    </row>
    <row r="14" spans="1:13" ht="16.05" customHeight="1">
      <c r="A14" s="17"/>
      <c r="B14" s="7"/>
      <c r="C14" s="130" t="s">
        <v>640</v>
      </c>
      <c r="D14" s="128"/>
      <c r="E14" s="130" t="s">
        <v>375</v>
      </c>
      <c r="F14" s="128"/>
      <c r="G14" s="130" t="s">
        <v>394</v>
      </c>
      <c r="H14" s="128"/>
      <c r="I14" s="130" t="s">
        <v>377</v>
      </c>
      <c r="J14" s="128"/>
      <c r="K14" s="7"/>
      <c r="L14" s="7"/>
      <c r="M14" s="7"/>
    </row>
    <row r="15" spans="1:13" ht="19.95" customHeight="1">
      <c r="A15" s="17"/>
      <c r="B15" s="7"/>
      <c r="C15" s="131" t="s">
        <v>600</v>
      </c>
      <c r="D15" s="128"/>
      <c r="E15" s="131" t="s">
        <v>600</v>
      </c>
      <c r="F15" s="128"/>
      <c r="G15" s="131" t="s">
        <v>452</v>
      </c>
      <c r="H15" s="128"/>
      <c r="I15" s="131" t="s">
        <v>600</v>
      </c>
      <c r="J15" s="128"/>
      <c r="K15" s="7"/>
      <c r="L15" s="7"/>
      <c r="M15" s="7"/>
    </row>
    <row r="16" spans="1:13" ht="16.05" customHeight="1">
      <c r="A16" s="17"/>
      <c r="B16" s="7"/>
      <c r="C16" s="128"/>
      <c r="D16" s="128"/>
      <c r="E16" s="128"/>
      <c r="F16" s="128"/>
      <c r="G16" s="128"/>
      <c r="H16" s="128"/>
      <c r="I16" s="128"/>
      <c r="J16" s="128"/>
      <c r="K16" s="7"/>
      <c r="L16" s="7"/>
      <c r="M16" s="7"/>
    </row>
    <row r="17" spans="1:13" ht="34.049999999999997" customHeight="1">
      <c r="A17" s="1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ht="34.049999999999997" customHeight="1">
      <c r="A18" s="1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</row>
    <row r="19" spans="1:13" ht="34.049999999999997" customHeight="1">
      <c r="A19" s="1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34.049999999999997" customHeight="1">
      <c r="A20" s="17"/>
      <c r="B20" s="7"/>
      <c r="C20" s="97" t="s">
        <v>721</v>
      </c>
      <c r="D20" s="87"/>
      <c r="E20" s="87"/>
      <c r="F20" s="87"/>
      <c r="G20" s="87"/>
      <c r="H20" s="87"/>
      <c r="I20" s="87"/>
      <c r="J20" s="87"/>
      <c r="K20" s="87"/>
      <c r="L20" s="7"/>
      <c r="M20" s="7"/>
    </row>
    <row r="21" spans="1:13" ht="34.049999999999997" customHeight="1">
      <c r="A21" s="17"/>
      <c r="B21" s="7"/>
      <c r="C21" s="19" t="s">
        <v>722</v>
      </c>
      <c r="D21" s="133" t="s">
        <v>723</v>
      </c>
      <c r="E21" s="87"/>
      <c r="F21" s="87"/>
      <c r="G21" s="87"/>
      <c r="H21" s="87"/>
      <c r="I21" s="7"/>
      <c r="J21" s="7"/>
      <c r="K21" s="7"/>
      <c r="L21" s="7"/>
      <c r="M21" s="7"/>
    </row>
    <row r="22" spans="1:13" ht="34.049999999999997" customHeight="1">
      <c r="A22" s="17"/>
      <c r="B22" s="7"/>
      <c r="C22" s="19" t="s">
        <v>724</v>
      </c>
      <c r="D22" s="133"/>
      <c r="E22" s="87"/>
      <c r="F22" s="87"/>
      <c r="G22" s="87"/>
      <c r="H22" s="87"/>
      <c r="I22" s="7"/>
      <c r="J22" s="7"/>
      <c r="K22" s="7"/>
      <c r="L22" s="7"/>
      <c r="M22" s="7"/>
    </row>
    <row r="23" spans="1:13" ht="34.049999999999997" customHeight="1">
      <c r="A23" s="17"/>
      <c r="B23" s="7"/>
      <c r="C23" s="19" t="s">
        <v>106</v>
      </c>
      <c r="D23" s="133" t="s">
        <v>725</v>
      </c>
      <c r="E23" s="87"/>
      <c r="F23" s="87"/>
      <c r="G23" s="87"/>
      <c r="H23" s="87"/>
      <c r="I23" s="7"/>
      <c r="J23" s="7"/>
      <c r="K23" s="7"/>
      <c r="L23" s="7"/>
      <c r="M23" s="7"/>
    </row>
    <row r="24" spans="1:13">
      <c r="A24" s="5"/>
      <c r="B24" s="7"/>
      <c r="C24" s="19" t="s">
        <v>726</v>
      </c>
      <c r="D24" s="133"/>
      <c r="E24" s="87"/>
      <c r="F24" s="87"/>
      <c r="G24" s="87"/>
      <c r="H24" s="87"/>
      <c r="I24" s="7"/>
      <c r="J24" s="7"/>
      <c r="K24" s="7"/>
      <c r="L24" s="7"/>
      <c r="M24" s="7"/>
    </row>
    <row r="25" spans="1:13">
      <c r="A25" s="5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13">
      <c r="A27" s="5"/>
      <c r="B27" s="7"/>
      <c r="C27" s="94" t="s">
        <v>727</v>
      </c>
      <c r="D27" s="87"/>
      <c r="E27" s="87"/>
      <c r="F27" s="87"/>
      <c r="G27" s="87"/>
      <c r="H27" s="87"/>
      <c r="I27" s="87"/>
      <c r="J27" s="87"/>
      <c r="K27" s="87"/>
      <c r="L27" s="7"/>
      <c r="M27" s="7"/>
    </row>
    <row r="28" spans="1:13">
      <c r="A28" s="5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</row>
    <row r="29" spans="1:13" ht="36" customHeight="1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</row>
    <row r="30" spans="1:13">
      <c r="A30" s="5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13">
      <c r="A31" s="5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</row>
    <row r="32" spans="1:13">
      <c r="A32" s="5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</row>
    <row r="33" spans="1:13">
      <c r="A33" s="5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13">
      <c r="A34" s="5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</row>
    <row r="35" spans="1:13">
      <c r="A35" s="5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</row>
    <row r="36" spans="1:13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1:13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1" spans="1:13">
      <c r="A41" s="5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</row>
    <row r="42" spans="1:13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  <row r="43" spans="1:13">
      <c r="A43" s="5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spans="1:13">
      <c r="A44" s="5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</row>
  </sheetData>
  <mergeCells count="27">
    <mergeCell ref="C1:J1"/>
    <mergeCell ref="G9:H10"/>
    <mergeCell ref="I9:J10"/>
    <mergeCell ref="C15:D16"/>
    <mergeCell ref="I15:J16"/>
    <mergeCell ref="C2:J2"/>
    <mergeCell ref="G14:H14"/>
    <mergeCell ref="I8:J8"/>
    <mergeCell ref="I14:J14"/>
    <mergeCell ref="C8:D8"/>
    <mergeCell ref="C5:H5"/>
    <mergeCell ref="C9:D10"/>
    <mergeCell ref="E9:F10"/>
    <mergeCell ref="D22:H22"/>
    <mergeCell ref="E8:F8"/>
    <mergeCell ref="C13:F13"/>
    <mergeCell ref="D21:H21"/>
    <mergeCell ref="C27:K27"/>
    <mergeCell ref="D24:H24"/>
    <mergeCell ref="D23:H23"/>
    <mergeCell ref="C20:K20"/>
    <mergeCell ref="E15:F16"/>
    <mergeCell ref="G15:H16"/>
    <mergeCell ref="C7:F7"/>
    <mergeCell ref="C14:D14"/>
    <mergeCell ref="E14:F14"/>
    <mergeCell ref="G8:H8"/>
  </mergeCells>
  <pageMargins left="0.75" right="0.75" top="1" bottom="1" header="0.5" footer="0.5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6">
    <tabColor rgb="FFD4AF37"/>
  </sheetPr>
  <dimension ref="A1:M58"/>
  <sheetViews>
    <sheetView showGridLines="0" workbookViewId="0"/>
  </sheetViews>
  <sheetFormatPr defaultRowHeight="14.4"/>
  <cols>
    <col min="1" max="1" width="24" customWidth="1"/>
    <col min="2" max="2" width="2" customWidth="1"/>
    <col min="3" max="4" width="14" customWidth="1"/>
    <col min="5" max="6" width="12" customWidth="1"/>
    <col min="7" max="7" width="14" customWidth="1"/>
    <col min="8" max="11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728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34.049999999999997" customHeight="1">
      <c r="A7" s="17"/>
      <c r="B7" s="7"/>
      <c r="C7" s="142" t="s">
        <v>729</v>
      </c>
      <c r="D7" s="87"/>
      <c r="E7" s="87"/>
      <c r="F7" s="87"/>
      <c r="G7" s="87"/>
      <c r="H7" s="87"/>
      <c r="I7" s="87"/>
      <c r="J7" s="87"/>
      <c r="K7" s="87"/>
      <c r="L7" s="7"/>
      <c r="M7" s="7"/>
    </row>
    <row r="8" spans="1:13" ht="34.049999999999997" customHeight="1">
      <c r="A8" s="15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ht="16.05" customHeight="1">
      <c r="A9" s="17"/>
      <c r="B9" s="7"/>
      <c r="C9" s="130" t="s">
        <v>730</v>
      </c>
      <c r="D9" s="128"/>
      <c r="E9" s="130" t="s">
        <v>427</v>
      </c>
      <c r="F9" s="128"/>
      <c r="G9" s="130" t="s">
        <v>731</v>
      </c>
      <c r="H9" s="128"/>
      <c r="I9" s="130" t="s">
        <v>732</v>
      </c>
      <c r="J9" s="128"/>
      <c r="K9" s="7"/>
      <c r="L9" s="7"/>
      <c r="M9" s="7"/>
    </row>
    <row r="10" spans="1:13" ht="19.95" customHeight="1">
      <c r="A10" s="17"/>
      <c r="B10" s="7"/>
      <c r="C10" s="131">
        <v>0</v>
      </c>
      <c r="D10" s="128"/>
      <c r="E10" s="131">
        <v>0</v>
      </c>
      <c r="F10" s="128"/>
      <c r="G10" s="131">
        <v>0</v>
      </c>
      <c r="H10" s="128"/>
      <c r="I10" s="131" t="s">
        <v>600</v>
      </c>
      <c r="J10" s="128"/>
      <c r="K10" s="7"/>
      <c r="L10" s="7"/>
      <c r="M10" s="7"/>
    </row>
    <row r="11" spans="1:13" ht="16.05" customHeight="1">
      <c r="A11" s="17"/>
      <c r="B11" s="7"/>
      <c r="C11" s="128"/>
      <c r="D11" s="128"/>
      <c r="E11" s="128"/>
      <c r="F11" s="128"/>
      <c r="G11" s="128"/>
      <c r="H11" s="128"/>
      <c r="I11" s="128"/>
      <c r="J11" s="128"/>
      <c r="K11" s="7"/>
      <c r="L11" s="7"/>
      <c r="M11" s="7"/>
    </row>
    <row r="12" spans="1:13" ht="34.049999999999997" customHeight="1">
      <c r="A12" s="1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34.049999999999997" customHeight="1">
      <c r="A13" s="1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34.049999999999997" customHeight="1">
      <c r="A14" s="17"/>
      <c r="B14" s="7"/>
      <c r="C14" s="97" t="s">
        <v>733</v>
      </c>
      <c r="D14" s="87"/>
      <c r="E14" s="87"/>
      <c r="F14" s="87"/>
      <c r="G14" s="87"/>
      <c r="H14" s="87"/>
      <c r="I14" s="87"/>
      <c r="J14" s="87"/>
      <c r="K14" s="87"/>
      <c r="L14" s="7"/>
      <c r="M14" s="7"/>
    </row>
    <row r="15" spans="1:13" ht="34.049999999999997" customHeight="1">
      <c r="A15" s="17"/>
      <c r="B15" s="7"/>
      <c r="C15" s="19" t="s">
        <v>734</v>
      </c>
      <c r="D15" s="143" t="s">
        <v>735</v>
      </c>
      <c r="E15" s="87"/>
      <c r="F15" s="87"/>
      <c r="G15" s="87"/>
      <c r="H15" s="87"/>
      <c r="I15" s="87"/>
      <c r="J15" s="87"/>
      <c r="K15" s="87"/>
      <c r="L15" s="7"/>
      <c r="M15" s="7"/>
    </row>
    <row r="16" spans="1:13" ht="34.049999999999997" customHeight="1">
      <c r="A16" s="1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34.049999999999997" customHeight="1">
      <c r="A17" s="17"/>
      <c r="B17" s="7"/>
      <c r="C17" s="97" t="s">
        <v>736</v>
      </c>
      <c r="D17" s="87"/>
      <c r="E17" s="87"/>
      <c r="F17" s="87"/>
      <c r="G17" s="87"/>
      <c r="H17" s="87"/>
      <c r="I17" s="87"/>
      <c r="J17" s="87"/>
      <c r="K17" s="87"/>
      <c r="L17" s="7"/>
      <c r="M17" s="7"/>
    </row>
    <row r="18" spans="1:13" ht="34.049999999999997" customHeight="1">
      <c r="A18" s="17"/>
      <c r="B18" s="7"/>
      <c r="C18" s="139" t="s">
        <v>737</v>
      </c>
      <c r="D18" s="87"/>
      <c r="E18" s="87"/>
      <c r="F18" s="87"/>
      <c r="G18" s="87"/>
      <c r="H18" s="87"/>
      <c r="I18" s="87"/>
      <c r="J18" s="87"/>
      <c r="K18" s="87"/>
      <c r="L18" s="7"/>
      <c r="M18" s="7"/>
    </row>
    <row r="19" spans="1:13" ht="34.049999999999997" customHeight="1">
      <c r="A19" s="17"/>
      <c r="B19" s="7"/>
      <c r="C19" s="133"/>
      <c r="D19" s="87"/>
      <c r="E19" s="87"/>
      <c r="F19" s="87"/>
      <c r="G19" s="87"/>
      <c r="H19" s="87"/>
      <c r="I19" s="87"/>
      <c r="J19" s="87"/>
      <c r="K19" s="87"/>
      <c r="L19" s="7"/>
      <c r="M19" s="7"/>
    </row>
    <row r="20" spans="1:13" ht="34.049999999999997" customHeight="1">
      <c r="A20" s="17"/>
      <c r="B20" s="7"/>
      <c r="C20" s="133"/>
      <c r="D20" s="87"/>
      <c r="E20" s="87"/>
      <c r="F20" s="87"/>
      <c r="G20" s="87"/>
      <c r="H20" s="87"/>
      <c r="I20" s="87"/>
      <c r="J20" s="87"/>
      <c r="K20" s="87"/>
      <c r="L20" s="7"/>
      <c r="M20" s="7"/>
    </row>
    <row r="21" spans="1:13" ht="34.049999999999997" customHeight="1">
      <c r="A21" s="17"/>
      <c r="B21" s="7"/>
      <c r="C21" s="133"/>
      <c r="D21" s="87"/>
      <c r="E21" s="87"/>
      <c r="F21" s="87"/>
      <c r="G21" s="87"/>
      <c r="H21" s="87"/>
      <c r="I21" s="87"/>
      <c r="J21" s="87"/>
      <c r="K21" s="87"/>
      <c r="L21" s="7"/>
      <c r="M21" s="7"/>
    </row>
    <row r="22" spans="1:13" ht="34.049999999999997" customHeight="1">
      <c r="A22" s="17"/>
      <c r="B22" s="7"/>
      <c r="C22" s="133"/>
      <c r="D22" s="87"/>
      <c r="E22" s="87"/>
      <c r="F22" s="87"/>
      <c r="G22" s="87"/>
      <c r="H22" s="87"/>
      <c r="I22" s="87"/>
      <c r="J22" s="87"/>
      <c r="K22" s="87"/>
      <c r="L22" s="7"/>
      <c r="M22" s="7"/>
    </row>
    <row r="23" spans="1:13" ht="34.049999999999997" customHeight="1">
      <c r="A23" s="17"/>
      <c r="B23" s="7"/>
      <c r="C23" s="133"/>
      <c r="D23" s="87"/>
      <c r="E23" s="87"/>
      <c r="F23" s="87"/>
      <c r="G23" s="87"/>
      <c r="H23" s="87"/>
      <c r="I23" s="87"/>
      <c r="J23" s="87"/>
      <c r="K23" s="87"/>
      <c r="L23" s="7"/>
      <c r="M23" s="7"/>
    </row>
    <row r="24" spans="1:13">
      <c r="A24" s="5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18">
      <c r="A25" s="5"/>
      <c r="B25" s="7"/>
      <c r="C25" s="97" t="s">
        <v>738</v>
      </c>
      <c r="D25" s="87"/>
      <c r="E25" s="87"/>
      <c r="F25" s="87"/>
      <c r="G25" s="7"/>
      <c r="H25" s="97" t="s">
        <v>739</v>
      </c>
      <c r="I25" s="87"/>
      <c r="J25" s="87"/>
      <c r="K25" s="87"/>
      <c r="L25" s="7"/>
      <c r="M25" s="7"/>
    </row>
    <row r="26" spans="1:13" ht="15.6">
      <c r="A26" s="5"/>
      <c r="B26" s="7"/>
      <c r="C26" s="133" t="s">
        <v>735</v>
      </c>
      <c r="D26" s="87"/>
      <c r="E26" s="87"/>
      <c r="F26" s="87"/>
      <c r="G26" s="7"/>
      <c r="H26" s="19" t="s">
        <v>740</v>
      </c>
      <c r="I26" s="139" t="s">
        <v>600</v>
      </c>
      <c r="J26" s="87"/>
      <c r="K26" s="87"/>
      <c r="L26" s="7"/>
      <c r="M26" s="7"/>
    </row>
    <row r="27" spans="1:13" ht="15.6">
      <c r="A27" s="5"/>
      <c r="B27" s="7"/>
      <c r="C27" s="133" t="s">
        <v>741</v>
      </c>
      <c r="D27" s="87"/>
      <c r="E27" s="87"/>
      <c r="F27" s="87"/>
      <c r="G27" s="7"/>
      <c r="H27" s="19" t="s">
        <v>652</v>
      </c>
      <c r="I27" s="139" t="s">
        <v>600</v>
      </c>
      <c r="J27" s="87"/>
      <c r="K27" s="87"/>
      <c r="L27" s="7"/>
      <c r="M27" s="7"/>
    </row>
    <row r="28" spans="1:13" ht="15.6">
      <c r="A28" s="5"/>
      <c r="B28" s="7"/>
      <c r="C28" s="133" t="s">
        <v>742</v>
      </c>
      <c r="D28" s="87"/>
      <c r="E28" s="87"/>
      <c r="F28" s="87"/>
      <c r="G28" s="7"/>
      <c r="H28" s="19" t="s">
        <v>654</v>
      </c>
      <c r="I28" s="139" t="s">
        <v>600</v>
      </c>
      <c r="J28" s="87"/>
      <c r="K28" s="87"/>
      <c r="L28" s="7"/>
      <c r="M28" s="7"/>
    </row>
    <row r="29" spans="1:13" ht="15.6">
      <c r="A29" s="5"/>
      <c r="B29" s="7"/>
      <c r="C29" s="133" t="s">
        <v>743</v>
      </c>
      <c r="D29" s="87"/>
      <c r="E29" s="87"/>
      <c r="F29" s="87"/>
      <c r="G29" s="7"/>
      <c r="H29" s="19" t="s">
        <v>744</v>
      </c>
      <c r="I29" s="139" t="s">
        <v>600</v>
      </c>
      <c r="J29" s="87"/>
      <c r="K29" s="87"/>
      <c r="L29" s="7"/>
      <c r="M29" s="7"/>
    </row>
    <row r="30" spans="1:13">
      <c r="A30" s="5"/>
      <c r="B30" s="7"/>
      <c r="C30" s="133" t="s">
        <v>745</v>
      </c>
      <c r="D30" s="87"/>
      <c r="E30" s="87"/>
      <c r="F30" s="87"/>
      <c r="G30" s="7"/>
      <c r="H30" s="7"/>
      <c r="I30" s="7"/>
      <c r="J30" s="7"/>
      <c r="K30" s="7"/>
      <c r="L30" s="7"/>
      <c r="M30" s="7"/>
    </row>
    <row r="31" spans="1:13">
      <c r="A31" s="5"/>
      <c r="B31" s="7"/>
      <c r="C31" s="133" t="s">
        <v>746</v>
      </c>
      <c r="D31" s="87"/>
      <c r="E31" s="87"/>
      <c r="F31" s="87"/>
      <c r="G31" s="7"/>
      <c r="H31" s="7"/>
      <c r="I31" s="7"/>
      <c r="J31" s="7"/>
      <c r="K31" s="7"/>
      <c r="L31" s="7"/>
      <c r="M31" s="7"/>
    </row>
    <row r="32" spans="1:13">
      <c r="A32" s="5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</row>
    <row r="33" spans="1:13" ht="18">
      <c r="A33" s="5"/>
      <c r="B33" s="7"/>
      <c r="C33" s="97" t="s">
        <v>747</v>
      </c>
      <c r="D33" s="87"/>
      <c r="E33" s="87"/>
      <c r="F33" s="87"/>
      <c r="G33" s="87"/>
      <c r="H33" s="87"/>
      <c r="I33" s="87"/>
      <c r="J33" s="87"/>
      <c r="K33" s="87"/>
      <c r="L33" s="7"/>
      <c r="M33" s="7"/>
    </row>
    <row r="34" spans="1:13">
      <c r="A34" s="5"/>
      <c r="B34" s="7"/>
      <c r="C34" s="133"/>
      <c r="D34" s="87"/>
      <c r="E34" s="87"/>
      <c r="F34" s="87"/>
      <c r="G34" s="87"/>
      <c r="H34" s="87"/>
      <c r="I34" s="87"/>
      <c r="J34" s="87"/>
      <c r="K34" s="87"/>
      <c r="L34" s="7"/>
      <c r="M34" s="7"/>
    </row>
    <row r="35" spans="1:13">
      <c r="A35" s="5"/>
      <c r="B35" s="7"/>
      <c r="C35" s="133"/>
      <c r="D35" s="87"/>
      <c r="E35" s="87"/>
      <c r="F35" s="87"/>
      <c r="G35" s="87"/>
      <c r="H35" s="87"/>
      <c r="I35" s="87"/>
      <c r="J35" s="87"/>
      <c r="K35" s="87"/>
      <c r="L35" s="7"/>
      <c r="M35" s="7"/>
    </row>
    <row r="36" spans="1:13">
      <c r="A36" s="5"/>
      <c r="B36" s="7"/>
      <c r="C36" s="133"/>
      <c r="D36" s="87"/>
      <c r="E36" s="87"/>
      <c r="F36" s="87"/>
      <c r="G36" s="87"/>
      <c r="H36" s="87"/>
      <c r="I36" s="87"/>
      <c r="J36" s="87"/>
      <c r="K36" s="87"/>
      <c r="L36" s="7"/>
      <c r="M36" s="7"/>
    </row>
    <row r="37" spans="1:13">
      <c r="A37" s="5"/>
      <c r="B37" s="7"/>
      <c r="C37" s="133"/>
      <c r="D37" s="87"/>
      <c r="E37" s="87"/>
      <c r="F37" s="87"/>
      <c r="G37" s="87"/>
      <c r="H37" s="87"/>
      <c r="I37" s="87"/>
      <c r="J37" s="87"/>
      <c r="K37" s="87"/>
      <c r="L37" s="7"/>
      <c r="M37" s="7"/>
    </row>
    <row r="38" spans="1:13">
      <c r="A38" s="5"/>
      <c r="B38" s="7"/>
      <c r="C38" s="133"/>
      <c r="D38" s="87"/>
      <c r="E38" s="87"/>
      <c r="F38" s="87"/>
      <c r="G38" s="87"/>
      <c r="H38" s="87"/>
      <c r="I38" s="87"/>
      <c r="J38" s="87"/>
      <c r="K38" s="87"/>
      <c r="L38" s="7"/>
      <c r="M38" s="7"/>
    </row>
    <row r="39" spans="1:13">
      <c r="A39" s="5"/>
      <c r="B39" s="7"/>
      <c r="C39" s="133"/>
      <c r="D39" s="87"/>
      <c r="E39" s="87"/>
      <c r="F39" s="87"/>
      <c r="G39" s="87"/>
      <c r="H39" s="87"/>
      <c r="I39" s="87"/>
      <c r="J39" s="87"/>
      <c r="K39" s="87"/>
      <c r="L39" s="7"/>
      <c r="M39" s="7"/>
    </row>
    <row r="40" spans="1:13">
      <c r="A40" s="5"/>
      <c r="B40" s="7"/>
      <c r="C40" s="133"/>
      <c r="D40" s="87"/>
      <c r="E40" s="87"/>
      <c r="F40" s="87"/>
      <c r="G40" s="87"/>
      <c r="H40" s="87"/>
      <c r="I40" s="87"/>
      <c r="J40" s="87"/>
      <c r="K40" s="87"/>
      <c r="L40" s="7"/>
      <c r="M40" s="7"/>
    </row>
    <row r="41" spans="1:13">
      <c r="A41" s="5"/>
      <c r="B41" s="7"/>
      <c r="C41" s="133"/>
      <c r="D41" s="87"/>
      <c r="E41" s="87"/>
      <c r="F41" s="87"/>
      <c r="G41" s="87"/>
      <c r="H41" s="87"/>
      <c r="I41" s="87"/>
      <c r="J41" s="87"/>
      <c r="K41" s="87"/>
      <c r="L41" s="7"/>
      <c r="M41" s="7"/>
    </row>
    <row r="42" spans="1:13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  <row r="43" spans="1:13" ht="18">
      <c r="A43" s="5"/>
      <c r="B43" s="7"/>
      <c r="C43" s="97" t="s">
        <v>748</v>
      </c>
      <c r="D43" s="87"/>
      <c r="E43" s="87"/>
      <c r="F43" s="87"/>
      <c r="G43" s="87"/>
      <c r="H43" s="87"/>
      <c r="I43" s="87"/>
      <c r="J43" s="87"/>
      <c r="K43" s="87"/>
      <c r="L43" s="7"/>
      <c r="M43" s="7"/>
    </row>
    <row r="44" spans="1:13">
      <c r="A44" s="5"/>
      <c r="B44" s="7"/>
      <c r="C44" s="18" t="s">
        <v>749</v>
      </c>
      <c r="D44" s="18" t="s">
        <v>64</v>
      </c>
      <c r="E44" s="18" t="s">
        <v>750</v>
      </c>
      <c r="F44" s="18" t="s">
        <v>106</v>
      </c>
      <c r="G44" s="7"/>
      <c r="H44" s="7"/>
      <c r="I44" s="7"/>
      <c r="J44" s="7"/>
      <c r="K44" s="7"/>
      <c r="L44" s="7"/>
      <c r="M44" s="7"/>
    </row>
    <row r="45" spans="1:13">
      <c r="A45" s="5"/>
      <c r="B45" s="7"/>
      <c r="C45" s="19"/>
      <c r="D45" s="19"/>
      <c r="E45" s="19"/>
      <c r="F45" s="19"/>
      <c r="G45" s="7"/>
      <c r="H45" s="7"/>
      <c r="I45" s="7"/>
      <c r="J45" s="7"/>
      <c r="K45" s="7"/>
      <c r="L45" s="7"/>
      <c r="M45" s="7"/>
    </row>
    <row r="46" spans="1:13">
      <c r="A46" s="5"/>
      <c r="B46" s="7"/>
      <c r="C46" s="19"/>
      <c r="D46" s="19"/>
      <c r="E46" s="19"/>
      <c r="F46" s="19"/>
      <c r="G46" s="7"/>
      <c r="H46" s="7"/>
      <c r="I46" s="7"/>
      <c r="J46" s="7"/>
      <c r="K46" s="7"/>
      <c r="L46" s="7"/>
      <c r="M46" s="7"/>
    </row>
    <row r="47" spans="1:13">
      <c r="A47" s="5"/>
      <c r="B47" s="7"/>
      <c r="C47" s="19"/>
      <c r="D47" s="19"/>
      <c r="E47" s="19"/>
      <c r="F47" s="19"/>
      <c r="G47" s="7"/>
      <c r="H47" s="7"/>
      <c r="I47" s="7"/>
      <c r="J47" s="7"/>
      <c r="K47" s="7"/>
      <c r="L47" s="7"/>
      <c r="M47" s="7"/>
    </row>
    <row r="48" spans="1:13">
      <c r="A48" s="5"/>
      <c r="B48" s="7"/>
      <c r="C48" s="19"/>
      <c r="D48" s="19"/>
      <c r="E48" s="19"/>
      <c r="F48" s="19"/>
      <c r="G48" s="7"/>
      <c r="H48" s="7"/>
      <c r="I48" s="7"/>
      <c r="J48" s="7"/>
      <c r="K48" s="7"/>
      <c r="L48" s="7"/>
      <c r="M48" s="7"/>
    </row>
    <row r="49" spans="1:13">
      <c r="A49" s="5"/>
      <c r="B49" s="7"/>
      <c r="C49" s="19"/>
      <c r="D49" s="19"/>
      <c r="E49" s="19"/>
      <c r="F49" s="19"/>
      <c r="G49" s="7"/>
      <c r="H49" s="7"/>
      <c r="I49" s="7"/>
      <c r="J49" s="7"/>
      <c r="K49" s="7"/>
      <c r="L49" s="7"/>
      <c r="M49" s="7"/>
    </row>
    <row r="50" spans="1:13">
      <c r="A50" s="5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</row>
    <row r="51" spans="1:13">
      <c r="A51" s="5"/>
      <c r="B51" s="7"/>
      <c r="C51" s="94" t="s">
        <v>751</v>
      </c>
      <c r="D51" s="87"/>
      <c r="E51" s="87"/>
      <c r="F51" s="87"/>
      <c r="G51" s="87"/>
      <c r="H51" s="87"/>
      <c r="I51" s="87"/>
      <c r="J51" s="87"/>
      <c r="K51" s="87"/>
      <c r="L51" s="7"/>
      <c r="M51" s="7"/>
    </row>
    <row r="52" spans="1:13">
      <c r="A52" s="5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</row>
    <row r="53" spans="1:13" ht="36" customHeight="1">
      <c r="A53" s="5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</row>
    <row r="54" spans="1:13">
      <c r="A54" s="5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</row>
    <row r="55" spans="1:13">
      <c r="A55" s="5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</row>
    <row r="56" spans="1:13">
      <c r="A56" s="5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</row>
    <row r="57" spans="1:13">
      <c r="A57" s="5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</row>
    <row r="58" spans="1:13">
      <c r="A58" s="5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</row>
  </sheetData>
  <mergeCells count="44">
    <mergeCell ref="G9:H9"/>
    <mergeCell ref="C20:K20"/>
    <mergeCell ref="I9:J9"/>
    <mergeCell ref="C2:J2"/>
    <mergeCell ref="C29:F29"/>
    <mergeCell ref="C18:K18"/>
    <mergeCell ref="C25:F25"/>
    <mergeCell ref="C34:K34"/>
    <mergeCell ref="C31:F31"/>
    <mergeCell ref="C33:K33"/>
    <mergeCell ref="C10:D11"/>
    <mergeCell ref="D15:K15"/>
    <mergeCell ref="C5:H5"/>
    <mergeCell ref="E10:F11"/>
    <mergeCell ref="C14:K14"/>
    <mergeCell ref="I27:K27"/>
    <mergeCell ref="G10:H11"/>
    <mergeCell ref="I26:K26"/>
    <mergeCell ref="C27:F27"/>
    <mergeCell ref="C21:K21"/>
    <mergeCell ref="C51:K51"/>
    <mergeCell ref="C1:J1"/>
    <mergeCell ref="C36:K36"/>
    <mergeCell ref="I10:J11"/>
    <mergeCell ref="C30:F30"/>
    <mergeCell ref="C17:K17"/>
    <mergeCell ref="C23:K23"/>
    <mergeCell ref="C39:K39"/>
    <mergeCell ref="C9:D9"/>
    <mergeCell ref="E9:F9"/>
    <mergeCell ref="I29:K29"/>
    <mergeCell ref="C7:K7"/>
    <mergeCell ref="C38:K38"/>
    <mergeCell ref="C19:K19"/>
    <mergeCell ref="C37:K37"/>
    <mergeCell ref="C41:K41"/>
    <mergeCell ref="I28:K28"/>
    <mergeCell ref="C22:K22"/>
    <mergeCell ref="C40:K40"/>
    <mergeCell ref="C43:K43"/>
    <mergeCell ref="C28:F28"/>
    <mergeCell ref="C26:F26"/>
    <mergeCell ref="H25:K25"/>
    <mergeCell ref="C35:K35"/>
  </mergeCells>
  <pageMargins left="0.75" right="0.75" top="1" bottom="1" header="0.5" footer="0.5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37">
    <tabColor rgb="FFD4AF37"/>
  </sheetPr>
  <dimension ref="A1:M48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10" customWidth="1"/>
    <col min="4" max="4" width="14" customWidth="1"/>
    <col min="5" max="5" width="36" customWidth="1"/>
    <col min="6" max="6" width="14" customWidth="1"/>
    <col min="7" max="9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752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16.05" customHeight="1">
      <c r="A7" s="17"/>
      <c r="B7" s="7"/>
      <c r="C7" s="130" t="s">
        <v>753</v>
      </c>
      <c r="D7" s="128"/>
      <c r="E7" s="130" t="s">
        <v>425</v>
      </c>
      <c r="F7" s="128"/>
      <c r="G7" s="130" t="s">
        <v>754</v>
      </c>
      <c r="H7" s="128"/>
      <c r="I7" s="130" t="s">
        <v>755</v>
      </c>
      <c r="J7" s="128"/>
      <c r="K7" s="7"/>
      <c r="L7" s="7"/>
      <c r="M7" s="7"/>
    </row>
    <row r="8" spans="1:13" ht="19.95" customHeight="1">
      <c r="A8" s="17"/>
      <c r="B8" s="7"/>
      <c r="C8" s="131">
        <v>0</v>
      </c>
      <c r="D8" s="128"/>
      <c r="E8" s="131">
        <v>0</v>
      </c>
      <c r="F8" s="128"/>
      <c r="G8" s="131">
        <v>0</v>
      </c>
      <c r="H8" s="128"/>
      <c r="I8" s="131">
        <v>0</v>
      </c>
      <c r="J8" s="128"/>
      <c r="K8" s="7"/>
      <c r="L8" s="7"/>
      <c r="M8" s="7"/>
    </row>
    <row r="9" spans="1:13" ht="16.05" customHeight="1">
      <c r="A9" s="17"/>
      <c r="B9" s="7"/>
      <c r="C9" s="128"/>
      <c r="D9" s="128"/>
      <c r="E9" s="128"/>
      <c r="F9" s="128"/>
      <c r="G9" s="128"/>
      <c r="H9" s="128"/>
      <c r="I9" s="128"/>
      <c r="J9" s="128"/>
      <c r="K9" s="7"/>
      <c r="L9" s="7"/>
      <c r="M9" s="7"/>
    </row>
    <row r="10" spans="1:13" ht="34.049999999999997" customHeight="1">
      <c r="A10" s="1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34.049999999999997" customHeight="1">
      <c r="A11" s="1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34.049999999999997" customHeight="1">
      <c r="A12" s="17"/>
      <c r="B12" s="7"/>
      <c r="C12" s="97" t="s">
        <v>756</v>
      </c>
      <c r="D12" s="87"/>
      <c r="E12" s="87"/>
      <c r="F12" s="87"/>
      <c r="G12" s="87"/>
      <c r="H12" s="87"/>
      <c r="I12" s="87"/>
      <c r="J12" s="7"/>
      <c r="K12" s="7"/>
      <c r="L12" s="7"/>
      <c r="M12" s="7"/>
    </row>
    <row r="13" spans="1:13" ht="34.049999999999997" customHeight="1">
      <c r="A13" s="17"/>
      <c r="B13" s="7"/>
      <c r="C13" s="18" t="s">
        <v>757</v>
      </c>
      <c r="D13" s="18" t="s">
        <v>294</v>
      </c>
      <c r="E13" s="18" t="s">
        <v>238</v>
      </c>
      <c r="F13" s="18" t="s">
        <v>430</v>
      </c>
      <c r="G13" s="18" t="s">
        <v>199</v>
      </c>
      <c r="H13" s="18" t="s">
        <v>239</v>
      </c>
      <c r="I13" s="7"/>
      <c r="J13" s="7"/>
      <c r="K13" s="7"/>
      <c r="L13" s="7"/>
      <c r="M13" s="7"/>
    </row>
    <row r="14" spans="1:13" ht="34.049999999999997" customHeight="1">
      <c r="A14" s="17"/>
      <c r="B14" s="7"/>
      <c r="C14" s="19"/>
      <c r="D14" s="19"/>
      <c r="E14" s="19"/>
      <c r="F14" s="19"/>
      <c r="G14" s="19"/>
      <c r="H14" s="19"/>
      <c r="I14" s="7"/>
      <c r="J14" s="7"/>
      <c r="K14" s="7"/>
      <c r="L14" s="7"/>
      <c r="M14" s="7"/>
    </row>
    <row r="15" spans="1:13" ht="34.049999999999997" customHeight="1">
      <c r="A15" s="17"/>
      <c r="B15" s="7"/>
      <c r="C15" s="19"/>
      <c r="D15" s="19"/>
      <c r="E15" s="19"/>
      <c r="F15" s="19"/>
      <c r="G15" s="19"/>
      <c r="H15" s="19"/>
      <c r="I15" s="7"/>
      <c r="J15" s="7"/>
      <c r="K15" s="7"/>
      <c r="L15" s="7"/>
      <c r="M15" s="7"/>
    </row>
    <row r="16" spans="1:13" ht="34.049999999999997" customHeight="1">
      <c r="A16" s="17"/>
      <c r="B16" s="7"/>
      <c r="C16" s="19"/>
      <c r="D16" s="19"/>
      <c r="E16" s="19"/>
      <c r="F16" s="19"/>
      <c r="G16" s="19"/>
      <c r="H16" s="19"/>
      <c r="I16" s="7"/>
      <c r="J16" s="7"/>
      <c r="K16" s="7"/>
      <c r="L16" s="7"/>
      <c r="M16" s="7"/>
    </row>
    <row r="17" spans="1:13" ht="34.049999999999997" customHeight="1">
      <c r="A17" s="17"/>
      <c r="B17" s="7"/>
      <c r="C17" s="19"/>
      <c r="D17" s="19"/>
      <c r="E17" s="19"/>
      <c r="F17" s="19"/>
      <c r="G17" s="19"/>
      <c r="H17" s="19"/>
      <c r="I17" s="7"/>
      <c r="J17" s="7"/>
      <c r="K17" s="7"/>
      <c r="L17" s="7"/>
      <c r="M17" s="7"/>
    </row>
    <row r="18" spans="1:13" ht="34.049999999999997" customHeight="1">
      <c r="A18" s="17"/>
      <c r="B18" s="7"/>
      <c r="C18" s="19"/>
      <c r="D18" s="19"/>
      <c r="E18" s="19"/>
      <c r="F18" s="19"/>
      <c r="G18" s="19"/>
      <c r="H18" s="19"/>
      <c r="I18" s="7"/>
      <c r="J18" s="7"/>
      <c r="K18" s="7"/>
      <c r="L18" s="7"/>
      <c r="M18" s="7"/>
    </row>
    <row r="19" spans="1:13" ht="34.049999999999997" customHeight="1">
      <c r="A19" s="17"/>
      <c r="B19" s="7"/>
      <c r="C19" s="19"/>
      <c r="D19" s="19"/>
      <c r="E19" s="19"/>
      <c r="F19" s="19"/>
      <c r="G19" s="19"/>
      <c r="H19" s="19"/>
      <c r="I19" s="7"/>
      <c r="J19" s="7"/>
      <c r="K19" s="7"/>
      <c r="L19" s="7"/>
      <c r="M19" s="7"/>
    </row>
    <row r="20" spans="1:13" ht="34.049999999999997" customHeight="1">
      <c r="A20" s="17"/>
      <c r="B20" s="7"/>
      <c r="C20" s="19"/>
      <c r="D20" s="19"/>
      <c r="E20" s="19"/>
      <c r="F20" s="19"/>
      <c r="G20" s="19"/>
      <c r="H20" s="19"/>
      <c r="I20" s="7"/>
      <c r="J20" s="7"/>
      <c r="K20" s="7"/>
      <c r="L20" s="7"/>
      <c r="M20" s="7"/>
    </row>
    <row r="21" spans="1:13" ht="34.049999999999997" customHeight="1">
      <c r="A21" s="17"/>
      <c r="B21" s="7"/>
      <c r="C21" s="19"/>
      <c r="D21" s="19"/>
      <c r="E21" s="19"/>
      <c r="F21" s="19"/>
      <c r="G21" s="19"/>
      <c r="H21" s="19"/>
      <c r="I21" s="7"/>
      <c r="J21" s="7"/>
      <c r="K21" s="7"/>
      <c r="L21" s="7"/>
      <c r="M21" s="7"/>
    </row>
    <row r="22" spans="1:13" ht="34.049999999999997" customHeight="1">
      <c r="A22" s="17"/>
      <c r="B22" s="7"/>
      <c r="C22" s="19"/>
      <c r="D22" s="19"/>
      <c r="E22" s="19"/>
      <c r="F22" s="19"/>
      <c r="G22" s="19"/>
      <c r="H22" s="19"/>
      <c r="I22" s="7"/>
      <c r="J22" s="7"/>
      <c r="K22" s="7"/>
      <c r="L22" s="7"/>
      <c r="M22" s="7"/>
    </row>
    <row r="23" spans="1:13" ht="34.049999999999997" customHeight="1">
      <c r="A23" s="17"/>
      <c r="B23" s="7"/>
      <c r="C23" s="19"/>
      <c r="D23" s="19"/>
      <c r="E23" s="19"/>
      <c r="F23" s="19"/>
      <c r="G23" s="19"/>
      <c r="H23" s="19"/>
      <c r="I23" s="7"/>
      <c r="J23" s="7"/>
      <c r="K23" s="7"/>
      <c r="L23" s="7"/>
      <c r="M23" s="7"/>
    </row>
    <row r="24" spans="1:13">
      <c r="A24" s="5"/>
      <c r="B24" s="7"/>
      <c r="C24" s="19"/>
      <c r="D24" s="19"/>
      <c r="E24" s="19"/>
      <c r="F24" s="19"/>
      <c r="G24" s="19"/>
      <c r="H24" s="19"/>
      <c r="I24" s="7"/>
      <c r="J24" s="7"/>
      <c r="K24" s="7"/>
      <c r="L24" s="7"/>
      <c r="M24" s="7"/>
    </row>
    <row r="25" spans="1:13">
      <c r="A25" s="5"/>
      <c r="B25" s="7"/>
      <c r="C25" s="19"/>
      <c r="D25" s="19"/>
      <c r="E25" s="19"/>
      <c r="F25" s="19"/>
      <c r="G25" s="19"/>
      <c r="H25" s="19"/>
      <c r="I25" s="7"/>
      <c r="J25" s="7"/>
      <c r="K25" s="7"/>
      <c r="L25" s="7"/>
      <c r="M25" s="7"/>
    </row>
    <row r="26" spans="1:13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13">
      <c r="A27" s="5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13" ht="18">
      <c r="A28" s="5"/>
      <c r="B28" s="7"/>
      <c r="C28" s="97" t="s">
        <v>758</v>
      </c>
      <c r="D28" s="87"/>
      <c r="E28" s="87"/>
      <c r="F28" s="87"/>
      <c r="G28" s="87"/>
      <c r="H28" s="87"/>
      <c r="I28" s="87"/>
      <c r="J28" s="7"/>
      <c r="K28" s="7"/>
      <c r="L28" s="7"/>
      <c r="M28" s="7"/>
    </row>
    <row r="29" spans="1:13">
      <c r="A29" s="5"/>
      <c r="B29" s="7"/>
      <c r="C29" s="133" t="s">
        <v>759</v>
      </c>
      <c r="D29" s="87"/>
      <c r="E29" s="87"/>
      <c r="F29" s="87"/>
      <c r="G29" s="87"/>
      <c r="H29" s="87"/>
      <c r="I29" s="7"/>
      <c r="J29" s="7"/>
      <c r="K29" s="7"/>
      <c r="L29" s="7"/>
      <c r="M29" s="7"/>
    </row>
    <row r="30" spans="1:13">
      <c r="A30" s="5"/>
      <c r="B30" s="7"/>
      <c r="C30" s="133" t="s">
        <v>760</v>
      </c>
      <c r="D30" s="87"/>
      <c r="E30" s="87"/>
      <c r="F30" s="87"/>
      <c r="G30" s="87"/>
      <c r="H30" s="87"/>
      <c r="I30" s="7"/>
      <c r="J30" s="7"/>
      <c r="K30" s="7"/>
      <c r="L30" s="7"/>
      <c r="M30" s="7"/>
    </row>
    <row r="31" spans="1:13">
      <c r="A31" s="5"/>
      <c r="B31" s="7"/>
      <c r="C31" s="133" t="s">
        <v>761</v>
      </c>
      <c r="D31" s="87"/>
      <c r="E31" s="87"/>
      <c r="F31" s="87"/>
      <c r="G31" s="87"/>
      <c r="H31" s="87"/>
      <c r="I31" s="7"/>
      <c r="J31" s="7"/>
      <c r="K31" s="7"/>
      <c r="L31" s="7"/>
      <c r="M31" s="7"/>
    </row>
    <row r="32" spans="1:13">
      <c r="A32" s="5"/>
      <c r="B32" s="7"/>
      <c r="C32" s="133" t="s">
        <v>762</v>
      </c>
      <c r="D32" s="87"/>
      <c r="E32" s="87"/>
      <c r="F32" s="87"/>
      <c r="G32" s="87"/>
      <c r="H32" s="87"/>
      <c r="I32" s="7"/>
      <c r="J32" s="7"/>
      <c r="K32" s="7"/>
      <c r="L32" s="7"/>
      <c r="M32" s="7"/>
    </row>
    <row r="33" spans="1:13">
      <c r="A33" s="5"/>
      <c r="B33" s="7"/>
      <c r="C33" s="133" t="s">
        <v>763</v>
      </c>
      <c r="D33" s="87"/>
      <c r="E33" s="87"/>
      <c r="F33" s="87"/>
      <c r="G33" s="87"/>
      <c r="H33" s="87"/>
      <c r="I33" s="7"/>
      <c r="J33" s="7"/>
      <c r="K33" s="7"/>
      <c r="L33" s="7"/>
      <c r="M33" s="7"/>
    </row>
    <row r="34" spans="1:13">
      <c r="A34" s="5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</row>
    <row r="35" spans="1:13">
      <c r="A35" s="5"/>
      <c r="B35" s="7"/>
      <c r="C35" s="94" t="s">
        <v>764</v>
      </c>
      <c r="D35" s="87"/>
      <c r="E35" s="87"/>
      <c r="F35" s="87"/>
      <c r="G35" s="87"/>
      <c r="H35" s="87"/>
      <c r="I35" s="87"/>
      <c r="J35" s="7"/>
      <c r="K35" s="7"/>
      <c r="L35" s="7"/>
      <c r="M35" s="7"/>
    </row>
    <row r="36" spans="1:13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1:13" ht="36" customHeight="1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1" spans="1:13">
      <c r="A41" s="5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</row>
    <row r="42" spans="1:13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  <row r="43" spans="1:13">
      <c r="A43" s="5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spans="1:13">
      <c r="A44" s="5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</row>
    <row r="45" spans="1:13">
      <c r="A45" s="5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</row>
    <row r="46" spans="1:13">
      <c r="A46" s="5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</row>
    <row r="47" spans="1:13">
      <c r="A47" s="5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</row>
    <row r="48" spans="1:13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</row>
  </sheetData>
  <mergeCells count="19">
    <mergeCell ref="C1:J1"/>
    <mergeCell ref="I7:J7"/>
    <mergeCell ref="C32:H32"/>
    <mergeCell ref="C35:I35"/>
    <mergeCell ref="C2:J2"/>
    <mergeCell ref="E8:F9"/>
    <mergeCell ref="G8:H9"/>
    <mergeCell ref="C30:H30"/>
    <mergeCell ref="C33:H33"/>
    <mergeCell ref="C7:D7"/>
    <mergeCell ref="E7:F7"/>
    <mergeCell ref="C5:H5"/>
    <mergeCell ref="C12:I12"/>
    <mergeCell ref="C29:H29"/>
    <mergeCell ref="C31:H31"/>
    <mergeCell ref="I8:J9"/>
    <mergeCell ref="C8:D9"/>
    <mergeCell ref="C28:I28"/>
    <mergeCell ref="G7:H7"/>
  </mergeCells>
  <pageMargins left="0.75" right="0.75" top="1" bottom="1" header="0.5" footer="0.5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8">
    <tabColor rgb="FFD4AF37"/>
  </sheetPr>
  <dimension ref="A1:M48"/>
  <sheetViews>
    <sheetView showGridLines="0" workbookViewId="0"/>
  </sheetViews>
  <sheetFormatPr defaultRowHeight="14.4"/>
  <cols>
    <col min="1" max="1" width="24" customWidth="1"/>
    <col min="2" max="2" width="2" customWidth="1"/>
    <col min="3" max="4" width="14" customWidth="1"/>
    <col min="5" max="6" width="12" customWidth="1"/>
    <col min="7" max="7" width="14" customWidth="1"/>
    <col min="8" max="10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765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34.049999999999997" customHeight="1">
      <c r="A7" s="1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16.05" customHeight="1">
      <c r="A8" s="17"/>
      <c r="B8" s="7"/>
      <c r="C8" s="130" t="s">
        <v>766</v>
      </c>
      <c r="D8" s="128"/>
      <c r="E8" s="130" t="s">
        <v>708</v>
      </c>
      <c r="F8" s="128"/>
      <c r="G8" s="130" t="s">
        <v>767</v>
      </c>
      <c r="H8" s="128"/>
      <c r="I8" s="130" t="s">
        <v>768</v>
      </c>
      <c r="J8" s="128"/>
      <c r="K8" s="7"/>
      <c r="L8" s="7"/>
      <c r="M8" s="7"/>
    </row>
    <row r="9" spans="1:13" ht="19.95" customHeight="1">
      <c r="A9" s="17"/>
      <c r="B9" s="7"/>
      <c r="C9" s="131">
        <v>0</v>
      </c>
      <c r="D9" s="128"/>
      <c r="E9" s="131">
        <v>0</v>
      </c>
      <c r="F9" s="128"/>
      <c r="G9" s="131" t="s">
        <v>600</v>
      </c>
      <c r="H9" s="128"/>
      <c r="I9" s="131">
        <v>0</v>
      </c>
      <c r="J9" s="128"/>
      <c r="K9" s="7"/>
      <c r="L9" s="7"/>
      <c r="M9" s="7"/>
    </row>
    <row r="10" spans="1:13" ht="16.05" customHeight="1">
      <c r="A10" s="17"/>
      <c r="B10" s="7"/>
      <c r="C10" s="128"/>
      <c r="D10" s="128"/>
      <c r="E10" s="128"/>
      <c r="F10" s="128"/>
      <c r="G10" s="128"/>
      <c r="H10" s="128"/>
      <c r="I10" s="128"/>
      <c r="J10" s="128"/>
      <c r="K10" s="7"/>
      <c r="L10" s="7"/>
      <c r="M10" s="7"/>
    </row>
    <row r="11" spans="1:13" ht="34.049999999999997" customHeight="1">
      <c r="A11" s="1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34.049999999999997" customHeight="1">
      <c r="A12" s="1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34.049999999999997" customHeight="1">
      <c r="A13" s="1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34.049999999999997" customHeight="1">
      <c r="A14" s="17"/>
      <c r="B14" s="7"/>
      <c r="C14" s="97" t="s">
        <v>769</v>
      </c>
      <c r="D14" s="87"/>
      <c r="E14" s="87"/>
      <c r="F14" s="87"/>
      <c r="G14" s="87"/>
      <c r="H14" s="87"/>
      <c r="I14" s="87"/>
      <c r="J14" s="87"/>
      <c r="K14" s="87"/>
      <c r="L14" s="7"/>
      <c r="M14" s="7"/>
    </row>
    <row r="15" spans="1:13" ht="34.049999999999997" customHeight="1">
      <c r="A15" s="17"/>
      <c r="B15" s="7"/>
      <c r="C15" s="18" t="s">
        <v>70</v>
      </c>
      <c r="D15" s="18" t="s">
        <v>770</v>
      </c>
      <c r="E15" s="18" t="s">
        <v>771</v>
      </c>
      <c r="F15" s="18" t="s">
        <v>54</v>
      </c>
      <c r="G15" s="18" t="s">
        <v>106</v>
      </c>
      <c r="H15" s="18" t="s">
        <v>772</v>
      </c>
      <c r="I15" s="7"/>
      <c r="J15" s="7"/>
      <c r="K15" s="7"/>
      <c r="L15" s="7"/>
      <c r="M15" s="7"/>
    </row>
    <row r="16" spans="1:13" ht="34.049999999999997" customHeight="1">
      <c r="A16" s="17"/>
      <c r="B16" s="7"/>
      <c r="C16" s="19"/>
      <c r="D16" s="19"/>
      <c r="E16" s="19"/>
      <c r="F16" s="19"/>
      <c r="G16" s="19"/>
      <c r="H16" s="19"/>
      <c r="I16" s="7"/>
      <c r="J16" s="7"/>
      <c r="K16" s="7"/>
      <c r="L16" s="7"/>
      <c r="M16" s="7"/>
    </row>
    <row r="17" spans="1:13" ht="34.049999999999997" customHeight="1">
      <c r="A17" s="17"/>
      <c r="B17" s="7"/>
      <c r="C17" s="19"/>
      <c r="D17" s="19"/>
      <c r="E17" s="19"/>
      <c r="F17" s="19"/>
      <c r="G17" s="19"/>
      <c r="H17" s="19"/>
      <c r="I17" s="7"/>
      <c r="J17" s="7"/>
      <c r="K17" s="7"/>
      <c r="L17" s="7"/>
      <c r="M17" s="7"/>
    </row>
    <row r="18" spans="1:13" ht="34.049999999999997" customHeight="1">
      <c r="A18" s="17"/>
      <c r="B18" s="7"/>
      <c r="C18" s="19"/>
      <c r="D18" s="19"/>
      <c r="E18" s="19"/>
      <c r="F18" s="19"/>
      <c r="G18" s="19"/>
      <c r="H18" s="19"/>
      <c r="I18" s="7"/>
      <c r="J18" s="7"/>
      <c r="K18" s="7"/>
      <c r="L18" s="7"/>
      <c r="M18" s="7"/>
    </row>
    <row r="19" spans="1:13" ht="34.049999999999997" customHeight="1">
      <c r="A19" s="17"/>
      <c r="B19" s="7"/>
      <c r="C19" s="19"/>
      <c r="D19" s="19"/>
      <c r="E19" s="19"/>
      <c r="F19" s="19"/>
      <c r="G19" s="19"/>
      <c r="H19" s="19"/>
      <c r="I19" s="7"/>
      <c r="J19" s="7"/>
      <c r="K19" s="7"/>
      <c r="L19" s="7"/>
      <c r="M19" s="7"/>
    </row>
    <row r="20" spans="1:13" ht="34.049999999999997" customHeight="1">
      <c r="A20" s="17"/>
      <c r="B20" s="7"/>
      <c r="C20" s="19"/>
      <c r="D20" s="19"/>
      <c r="E20" s="19"/>
      <c r="F20" s="19"/>
      <c r="G20" s="19"/>
      <c r="H20" s="19"/>
      <c r="I20" s="7"/>
      <c r="J20" s="7"/>
      <c r="K20" s="7"/>
      <c r="L20" s="7"/>
      <c r="M20" s="7"/>
    </row>
    <row r="21" spans="1:13" ht="34.049999999999997" customHeight="1">
      <c r="A21" s="17"/>
      <c r="B21" s="7"/>
      <c r="C21" s="19"/>
      <c r="D21" s="19"/>
      <c r="E21" s="19"/>
      <c r="F21" s="19"/>
      <c r="G21" s="19"/>
      <c r="H21" s="19"/>
      <c r="I21" s="7"/>
      <c r="J21" s="7"/>
      <c r="K21" s="7"/>
      <c r="L21" s="7"/>
      <c r="M21" s="7"/>
    </row>
    <row r="22" spans="1:13" ht="34.049999999999997" customHeight="1">
      <c r="A22" s="17"/>
      <c r="B22" s="7"/>
      <c r="C22" s="19"/>
      <c r="D22" s="19"/>
      <c r="E22" s="19"/>
      <c r="F22" s="19"/>
      <c r="G22" s="19"/>
      <c r="H22" s="19"/>
      <c r="I22" s="7"/>
      <c r="J22" s="7"/>
      <c r="K22" s="7"/>
      <c r="L22" s="7"/>
      <c r="M22" s="7"/>
    </row>
    <row r="23" spans="1:13" ht="34.049999999999997" customHeight="1">
      <c r="A23" s="17"/>
      <c r="B23" s="7"/>
      <c r="C23" s="19"/>
      <c r="D23" s="19"/>
      <c r="E23" s="19"/>
      <c r="F23" s="19"/>
      <c r="G23" s="19"/>
      <c r="H23" s="19"/>
      <c r="I23" s="7"/>
      <c r="J23" s="7"/>
      <c r="K23" s="7"/>
      <c r="L23" s="7"/>
      <c r="M23" s="7"/>
    </row>
    <row r="24" spans="1:13">
      <c r="A24" s="5"/>
      <c r="B24" s="7"/>
      <c r="C24" s="19"/>
      <c r="D24" s="19"/>
      <c r="E24" s="19"/>
      <c r="F24" s="19"/>
      <c r="G24" s="19"/>
      <c r="H24" s="19"/>
      <c r="I24" s="7"/>
      <c r="J24" s="7"/>
      <c r="K24" s="7"/>
      <c r="L24" s="7"/>
      <c r="M24" s="7"/>
    </row>
    <row r="25" spans="1:13">
      <c r="A25" s="5"/>
      <c r="B25" s="7"/>
      <c r="C25" s="19"/>
      <c r="D25" s="19"/>
      <c r="E25" s="19"/>
      <c r="F25" s="19"/>
      <c r="G25" s="19"/>
      <c r="H25" s="19"/>
      <c r="I25" s="7"/>
      <c r="J25" s="7"/>
      <c r="K25" s="7"/>
      <c r="L25" s="7"/>
      <c r="M25" s="7"/>
    </row>
    <row r="26" spans="1:13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13">
      <c r="A27" s="5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13" ht="18">
      <c r="A28" s="5"/>
      <c r="B28" s="7"/>
      <c r="C28" s="97" t="s">
        <v>773</v>
      </c>
      <c r="D28" s="87"/>
      <c r="E28" s="87"/>
      <c r="F28" s="87"/>
      <c r="G28" s="87"/>
      <c r="H28" s="87"/>
      <c r="I28" s="87"/>
      <c r="J28" s="87"/>
      <c r="K28" s="87"/>
      <c r="L28" s="7"/>
      <c r="M28" s="7"/>
    </row>
    <row r="29" spans="1:13">
      <c r="A29" s="5"/>
      <c r="B29" s="7"/>
      <c r="C29" s="18" t="s">
        <v>774</v>
      </c>
      <c r="D29" s="18" t="s">
        <v>775</v>
      </c>
      <c r="E29" s="18" t="s">
        <v>54</v>
      </c>
      <c r="F29" s="18" t="s">
        <v>776</v>
      </c>
      <c r="G29" s="18" t="s">
        <v>106</v>
      </c>
      <c r="H29" s="7"/>
      <c r="I29" s="7"/>
      <c r="J29" s="7"/>
      <c r="K29" s="7"/>
      <c r="L29" s="7"/>
      <c r="M29" s="7"/>
    </row>
    <row r="30" spans="1:13">
      <c r="A30" s="5"/>
      <c r="B30" s="7"/>
      <c r="C30" s="19"/>
      <c r="D30" s="19"/>
      <c r="E30" s="19"/>
      <c r="F30" s="19"/>
      <c r="G30" s="19"/>
      <c r="H30" s="7"/>
      <c r="I30" s="7"/>
      <c r="J30" s="7"/>
      <c r="K30" s="7"/>
      <c r="L30" s="7"/>
      <c r="M30" s="7"/>
    </row>
    <row r="31" spans="1:13">
      <c r="A31" s="5"/>
      <c r="B31" s="7"/>
      <c r="C31" s="19"/>
      <c r="D31" s="19"/>
      <c r="E31" s="19"/>
      <c r="F31" s="19"/>
      <c r="G31" s="19"/>
      <c r="H31" s="7"/>
      <c r="I31" s="7"/>
      <c r="J31" s="7"/>
      <c r="K31" s="7"/>
      <c r="L31" s="7"/>
      <c r="M31" s="7"/>
    </row>
    <row r="32" spans="1:13">
      <c r="A32" s="5"/>
      <c r="B32" s="7"/>
      <c r="C32" s="19"/>
      <c r="D32" s="19"/>
      <c r="E32" s="19"/>
      <c r="F32" s="19"/>
      <c r="G32" s="19"/>
      <c r="H32" s="7"/>
      <c r="I32" s="7"/>
      <c r="J32" s="7"/>
      <c r="K32" s="7"/>
      <c r="L32" s="7"/>
      <c r="M32" s="7"/>
    </row>
    <row r="33" spans="1:13">
      <c r="A33" s="5"/>
      <c r="B33" s="7"/>
      <c r="C33" s="19"/>
      <c r="D33" s="19"/>
      <c r="E33" s="19"/>
      <c r="F33" s="19"/>
      <c r="G33" s="19"/>
      <c r="H33" s="7"/>
      <c r="I33" s="7"/>
      <c r="J33" s="7"/>
      <c r="K33" s="7"/>
      <c r="L33" s="7"/>
      <c r="M33" s="7"/>
    </row>
    <row r="34" spans="1:13">
      <c r="A34" s="5"/>
      <c r="B34" s="7"/>
      <c r="C34" s="19"/>
      <c r="D34" s="19"/>
      <c r="E34" s="19"/>
      <c r="F34" s="19"/>
      <c r="G34" s="19"/>
      <c r="H34" s="7"/>
      <c r="I34" s="7"/>
      <c r="J34" s="7"/>
      <c r="K34" s="7"/>
      <c r="L34" s="7"/>
      <c r="M34" s="7"/>
    </row>
    <row r="35" spans="1:13">
      <c r="A35" s="5"/>
      <c r="B35" s="7"/>
      <c r="C35" s="19"/>
      <c r="D35" s="19"/>
      <c r="E35" s="19"/>
      <c r="F35" s="19"/>
      <c r="G35" s="19"/>
      <c r="H35" s="7"/>
      <c r="I35" s="7"/>
      <c r="J35" s="7"/>
      <c r="K35" s="7"/>
      <c r="L35" s="7"/>
      <c r="M35" s="7"/>
    </row>
    <row r="36" spans="1:13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1:13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>
      <c r="A38" s="5"/>
      <c r="B38" s="7"/>
      <c r="C38" s="94" t="s">
        <v>777</v>
      </c>
      <c r="D38" s="87"/>
      <c r="E38" s="87"/>
      <c r="F38" s="87"/>
      <c r="G38" s="87"/>
      <c r="H38" s="87"/>
      <c r="I38" s="87"/>
      <c r="J38" s="87"/>
      <c r="K38" s="87"/>
      <c r="L38" s="7"/>
      <c r="M38" s="7"/>
    </row>
    <row r="39" spans="1:13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 ht="36" customHeight="1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1" spans="1:13">
      <c r="A41" s="5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</row>
    <row r="42" spans="1:13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  <row r="43" spans="1:13">
      <c r="A43" s="5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spans="1:13">
      <c r="A44" s="5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</row>
    <row r="45" spans="1:13">
      <c r="A45" s="5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</row>
    <row r="46" spans="1:13">
      <c r="A46" s="5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</row>
    <row r="47" spans="1:13">
      <c r="A47" s="5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</row>
    <row r="48" spans="1:13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</row>
  </sheetData>
  <mergeCells count="14">
    <mergeCell ref="C38:K38"/>
    <mergeCell ref="E9:F10"/>
    <mergeCell ref="C1:J1"/>
    <mergeCell ref="C5:H5"/>
    <mergeCell ref="C14:K14"/>
    <mergeCell ref="C28:K28"/>
    <mergeCell ref="G9:H10"/>
    <mergeCell ref="C2:J2"/>
    <mergeCell ref="I8:J8"/>
    <mergeCell ref="G8:H8"/>
    <mergeCell ref="C9:D10"/>
    <mergeCell ref="E8:F8"/>
    <mergeCell ref="C8:D8"/>
    <mergeCell ref="I9:J10"/>
  </mergeCells>
  <pageMargins left="0.75" right="0.75" top="1" bottom="1" header="0.5" footer="0.5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9">
    <tabColor rgb="FFD4AF37"/>
  </sheetPr>
  <dimension ref="A1:M42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18" customWidth="1"/>
    <col min="4" max="4" width="16" customWidth="1"/>
    <col min="5" max="7" width="14" customWidth="1"/>
    <col min="8" max="9" width="12" customWidth="1"/>
  </cols>
  <sheetData>
    <row r="1" spans="1:13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87"/>
      <c r="K1" s="1"/>
      <c r="L1" s="6" t="s">
        <v>7</v>
      </c>
      <c r="M1" s="7"/>
    </row>
    <row r="2" spans="1:13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87"/>
      <c r="K2" s="9"/>
      <c r="L2" s="10" t="str">
        <f ca="1">TEXT(DAY(NOW()),"00")&amp;"/"&amp;TEXT(MONTH(NOW()),"00")&amp;"/"&amp;YEAR(NOW())&amp;" "&amp;TEXT(HOUR(NOW()),"00")&amp;":"&amp;TEXT(MINUTE(NOW()),"00")</f>
        <v>22/07/2026 14:42</v>
      </c>
      <c r="M2" s="7"/>
    </row>
    <row r="3" spans="1:13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7"/>
    </row>
    <row r="4" spans="1:13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2.8">
      <c r="A5" s="5"/>
      <c r="B5" s="7"/>
      <c r="C5" s="98" t="s">
        <v>778</v>
      </c>
      <c r="D5" s="87"/>
      <c r="E5" s="87"/>
      <c r="F5" s="87"/>
      <c r="G5" s="87"/>
      <c r="H5" s="87"/>
      <c r="I5" s="7"/>
      <c r="J5" s="7"/>
      <c r="K5" s="7"/>
      <c r="L5" s="7"/>
      <c r="M5" s="7"/>
    </row>
    <row r="6" spans="1:13" ht="34.049999999999997" customHeight="1">
      <c r="A6" s="1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34.049999999999997" customHeight="1">
      <c r="A7" s="1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34.049999999999997" customHeight="1">
      <c r="A8" s="17"/>
      <c r="B8" s="7"/>
      <c r="C8" s="19" t="s">
        <v>779</v>
      </c>
      <c r="D8" s="133"/>
      <c r="E8" s="87"/>
      <c r="F8" s="87"/>
      <c r="G8" s="87"/>
      <c r="H8" s="87"/>
      <c r="I8" s="7"/>
      <c r="J8" s="7"/>
      <c r="K8" s="7"/>
      <c r="L8" s="7"/>
      <c r="M8" s="7"/>
    </row>
    <row r="9" spans="1:13" ht="34.049999999999997" customHeight="1">
      <c r="A9" s="17"/>
      <c r="B9" s="7"/>
      <c r="C9" s="19" t="s">
        <v>780</v>
      </c>
      <c r="D9" s="133"/>
      <c r="E9" s="87"/>
      <c r="F9" s="87"/>
      <c r="G9" s="87"/>
      <c r="H9" s="87"/>
      <c r="I9" s="7"/>
      <c r="J9" s="7"/>
      <c r="K9" s="7"/>
      <c r="L9" s="7"/>
      <c r="M9" s="7"/>
    </row>
    <row r="10" spans="1:13" ht="34.049999999999997" customHeight="1">
      <c r="A10" s="17"/>
      <c r="B10" s="7"/>
      <c r="C10" s="19" t="s">
        <v>771</v>
      </c>
      <c r="D10" s="133"/>
      <c r="E10" s="87"/>
      <c r="F10" s="87"/>
      <c r="G10" s="87"/>
      <c r="H10" s="87"/>
      <c r="I10" s="7"/>
      <c r="J10" s="7"/>
      <c r="K10" s="7"/>
      <c r="L10" s="7"/>
      <c r="M10" s="7"/>
    </row>
    <row r="11" spans="1:13" ht="34.049999999999997" customHeight="1">
      <c r="A11" s="17"/>
      <c r="B11" s="7"/>
      <c r="C11" s="19" t="s">
        <v>84</v>
      </c>
      <c r="D11" s="133"/>
      <c r="E11" s="87"/>
      <c r="F11" s="87"/>
      <c r="G11" s="87"/>
      <c r="H11" s="87"/>
      <c r="I11" s="7"/>
      <c r="J11" s="7"/>
      <c r="K11" s="7"/>
      <c r="L11" s="7"/>
      <c r="M11" s="7"/>
    </row>
    <row r="12" spans="1:13" ht="34.049999999999997" customHeight="1">
      <c r="A12" s="17"/>
      <c r="B12" s="7"/>
      <c r="C12" s="19" t="s">
        <v>101</v>
      </c>
      <c r="D12" s="133"/>
      <c r="E12" s="87"/>
      <c r="F12" s="87"/>
      <c r="G12" s="87"/>
      <c r="H12" s="87"/>
      <c r="I12" s="7"/>
      <c r="J12" s="7"/>
      <c r="K12" s="7"/>
      <c r="L12" s="7"/>
      <c r="M12" s="7"/>
    </row>
    <row r="13" spans="1:13" ht="34.049999999999997" customHeight="1">
      <c r="A13" s="17"/>
      <c r="B13" s="7"/>
      <c r="C13" s="19" t="s">
        <v>89</v>
      </c>
      <c r="D13" s="133" t="s">
        <v>90</v>
      </c>
      <c r="E13" s="87"/>
      <c r="F13" s="87"/>
      <c r="G13" s="87"/>
      <c r="H13" s="87"/>
      <c r="I13" s="7"/>
      <c r="J13" s="7"/>
      <c r="K13" s="7"/>
      <c r="L13" s="7"/>
      <c r="M13" s="7"/>
    </row>
    <row r="14" spans="1:13" ht="34.049999999999997" customHeight="1">
      <c r="A14" s="17"/>
      <c r="B14" s="7"/>
      <c r="C14" s="19" t="s">
        <v>781</v>
      </c>
      <c r="D14" s="133" t="s">
        <v>782</v>
      </c>
      <c r="E14" s="87"/>
      <c r="F14" s="87"/>
      <c r="G14" s="87"/>
      <c r="H14" s="87"/>
      <c r="I14" s="7"/>
      <c r="J14" s="7"/>
      <c r="K14" s="7"/>
      <c r="L14" s="7"/>
      <c r="M14" s="7"/>
    </row>
    <row r="15" spans="1:13" ht="34.049999999999997" customHeight="1">
      <c r="A15" s="17"/>
      <c r="B15" s="7"/>
      <c r="C15" s="19" t="s">
        <v>54</v>
      </c>
      <c r="D15" s="133" t="s">
        <v>783</v>
      </c>
      <c r="E15" s="87"/>
      <c r="F15" s="87"/>
      <c r="G15" s="87"/>
      <c r="H15" s="87"/>
      <c r="I15" s="7"/>
      <c r="J15" s="7"/>
      <c r="K15" s="7"/>
      <c r="L15" s="7"/>
      <c r="M15" s="7"/>
    </row>
    <row r="16" spans="1:13" ht="34.049999999999997" customHeight="1">
      <c r="A16" s="17"/>
      <c r="B16" s="7"/>
      <c r="C16" s="19" t="s">
        <v>784</v>
      </c>
      <c r="D16" s="133" t="s">
        <v>785</v>
      </c>
      <c r="E16" s="87"/>
      <c r="F16" s="87"/>
      <c r="G16" s="87"/>
      <c r="H16" s="87"/>
      <c r="I16" s="7"/>
      <c r="J16" s="7"/>
      <c r="K16" s="7"/>
      <c r="L16" s="7"/>
      <c r="M16" s="7"/>
    </row>
    <row r="17" spans="1:13" ht="34.049999999999997" customHeight="1">
      <c r="A17" s="17"/>
      <c r="B17" s="7"/>
      <c r="C17" s="19" t="s">
        <v>786</v>
      </c>
      <c r="D17" s="133" t="s">
        <v>787</v>
      </c>
      <c r="E17" s="87"/>
      <c r="F17" s="87"/>
      <c r="G17" s="87"/>
      <c r="H17" s="87"/>
      <c r="I17" s="7"/>
      <c r="J17" s="7"/>
      <c r="K17" s="7"/>
      <c r="L17" s="7"/>
      <c r="M17" s="7"/>
    </row>
    <row r="18" spans="1:13" ht="34.049999999999997" customHeight="1">
      <c r="A18" s="17"/>
      <c r="B18" s="7"/>
      <c r="C18" s="19" t="s">
        <v>788</v>
      </c>
      <c r="D18" s="133" t="s">
        <v>789</v>
      </c>
      <c r="E18" s="87"/>
      <c r="F18" s="87"/>
      <c r="G18" s="87"/>
      <c r="H18" s="87"/>
      <c r="I18" s="7"/>
      <c r="J18" s="7"/>
      <c r="K18" s="7"/>
      <c r="L18" s="7"/>
      <c r="M18" s="7"/>
    </row>
    <row r="19" spans="1:13" ht="34.049999999999997" customHeight="1">
      <c r="A19" s="1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34.049999999999997" customHeight="1">
      <c r="A20" s="17"/>
      <c r="B20" s="7"/>
      <c r="C20" s="94" t="s">
        <v>790</v>
      </c>
      <c r="D20" s="87"/>
      <c r="E20" s="87"/>
      <c r="F20" s="87"/>
      <c r="G20" s="87"/>
      <c r="H20" s="87"/>
      <c r="I20" s="7"/>
      <c r="J20" s="7"/>
      <c r="K20" s="7"/>
      <c r="L20" s="7"/>
      <c r="M20" s="7"/>
    </row>
    <row r="21" spans="1:13" ht="34.049999999999997" customHeight="1">
      <c r="A21" s="1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34.049999999999997" customHeight="1">
      <c r="A22" s="17"/>
      <c r="B22" s="7"/>
      <c r="C22" s="97" t="s">
        <v>791</v>
      </c>
      <c r="D22" s="87"/>
      <c r="E22" s="87"/>
      <c r="F22" s="87"/>
      <c r="G22" s="87"/>
      <c r="H22" s="87"/>
      <c r="I22" s="7"/>
      <c r="J22" s="7"/>
      <c r="K22" s="7"/>
      <c r="L22" s="7"/>
      <c r="M22" s="7"/>
    </row>
    <row r="23" spans="1:13" ht="34.049999999999997" customHeight="1">
      <c r="A23" s="17"/>
      <c r="B23" s="7"/>
      <c r="C23" s="133" t="s">
        <v>792</v>
      </c>
      <c r="D23" s="87"/>
      <c r="E23" s="87"/>
      <c r="F23" s="87"/>
      <c r="G23" s="87"/>
      <c r="H23" s="87"/>
      <c r="I23" s="7"/>
      <c r="J23" s="7"/>
      <c r="K23" s="7"/>
      <c r="L23" s="7"/>
      <c r="M23" s="7"/>
    </row>
    <row r="24" spans="1:13">
      <c r="A24" s="5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36" customHeight="1">
      <c r="A25" s="5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13">
      <c r="A27" s="5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13">
      <c r="A28" s="5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</row>
    <row r="29" spans="1:13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</row>
    <row r="30" spans="1:13">
      <c r="A30" s="5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</row>
    <row r="31" spans="1:13">
      <c r="A31" s="5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</row>
    <row r="32" spans="1:13">
      <c r="A32" s="5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</row>
    <row r="33" spans="1:13">
      <c r="A33" s="5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13">
      <c r="A34" s="5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</row>
    <row r="35" spans="1:13">
      <c r="A35" s="5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</row>
    <row r="36" spans="1:13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1:13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>
      <c r="A38" s="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1" spans="1:13">
      <c r="A41" s="5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</row>
    <row r="42" spans="1:13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</sheetData>
  <mergeCells count="17">
    <mergeCell ref="C22:H22"/>
    <mergeCell ref="C2:J2"/>
    <mergeCell ref="D11:H11"/>
    <mergeCell ref="D13:H13"/>
    <mergeCell ref="C23:H23"/>
    <mergeCell ref="D14:H14"/>
    <mergeCell ref="C20:H20"/>
    <mergeCell ref="D18:H18"/>
    <mergeCell ref="D17:H17"/>
    <mergeCell ref="D9:H9"/>
    <mergeCell ref="D12:H12"/>
    <mergeCell ref="D8:H8"/>
    <mergeCell ref="D15:H15"/>
    <mergeCell ref="D16:H16"/>
    <mergeCell ref="C1:J1"/>
    <mergeCell ref="C5:H5"/>
    <mergeCell ref="D10:H10"/>
  </mergeCells>
  <pageMargins left="0.75" right="0.75" top="1" bottom="1" header="0.5" footer="0.5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40">
    <tabColor rgb="FFA3001E"/>
  </sheetPr>
  <dimension ref="A1:L48"/>
  <sheetViews>
    <sheetView showGridLines="0" workbookViewId="0"/>
  </sheetViews>
  <sheetFormatPr defaultRowHeight="14.4"/>
  <cols>
    <col min="1" max="1" width="24" customWidth="1"/>
    <col min="2" max="2" width="2" customWidth="1"/>
    <col min="3" max="3" width="16" customWidth="1"/>
    <col min="4" max="4" width="18" customWidth="1"/>
    <col min="5" max="8" width="14" customWidth="1"/>
  </cols>
  <sheetData>
    <row r="1" spans="1:12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1"/>
      <c r="K1" s="6" t="s">
        <v>7</v>
      </c>
      <c r="L1" s="7"/>
    </row>
    <row r="2" spans="1:12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9"/>
      <c r="K2" s="10" t="str">
        <f ca="1">TEXT(DAY(NOW()),"00")&amp;"/"&amp;TEXT(MONTH(NOW()),"00")&amp;"/"&amp;YEAR(NOW())&amp;" "&amp;TEXT(HOUR(NOW()),"00")&amp;":"&amp;TEXT(MINUTE(NOW()),"00")</f>
        <v>22/07/2026 14:42</v>
      </c>
      <c r="L2" s="7"/>
    </row>
    <row r="3" spans="1:12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7"/>
    </row>
    <row r="4" spans="1:12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1:12" ht="22.8">
      <c r="A5" s="5"/>
      <c r="B5" s="7"/>
      <c r="C5" s="98" t="s">
        <v>793</v>
      </c>
      <c r="D5" s="87"/>
      <c r="E5" s="87"/>
      <c r="F5" s="87"/>
      <c r="G5" s="87"/>
      <c r="H5" s="87"/>
      <c r="I5" s="7"/>
      <c r="J5" s="7"/>
      <c r="K5" s="7"/>
      <c r="L5" s="7"/>
    </row>
    <row r="6" spans="1:12" ht="34.049999999999997" customHeight="1">
      <c r="A6" s="17"/>
      <c r="B6" s="7"/>
      <c r="C6" s="145" t="s">
        <v>794</v>
      </c>
      <c r="D6" s="87"/>
      <c r="E6" s="87"/>
      <c r="F6" s="87"/>
      <c r="G6" s="87"/>
      <c r="H6" s="87"/>
      <c r="I6" s="7"/>
      <c r="J6" s="7"/>
      <c r="K6" s="7"/>
      <c r="L6" s="7"/>
    </row>
    <row r="7" spans="1:12" ht="34.049999999999997" customHeight="1">
      <c r="A7" s="17"/>
      <c r="B7" s="7"/>
      <c r="C7" s="7"/>
      <c r="D7" s="7"/>
      <c r="E7" s="7"/>
      <c r="F7" s="7"/>
      <c r="G7" s="7"/>
      <c r="H7" s="7"/>
      <c r="I7" s="7"/>
      <c r="J7" s="7"/>
      <c r="K7" s="7"/>
      <c r="L7" s="7"/>
    </row>
    <row r="8" spans="1:12" ht="34.049999999999997" customHeight="1">
      <c r="A8" s="17"/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1:12" ht="34.049999999999997" customHeight="1">
      <c r="A9" s="17"/>
      <c r="B9" s="7"/>
      <c r="C9" s="69" t="s">
        <v>98</v>
      </c>
      <c r="D9" s="144"/>
      <c r="E9" s="87"/>
      <c r="F9" s="87"/>
      <c r="G9" s="7"/>
      <c r="H9" s="7"/>
      <c r="I9" s="7"/>
      <c r="J9" s="7"/>
      <c r="K9" s="7"/>
      <c r="L9" s="7"/>
    </row>
    <row r="10" spans="1:12" ht="34.049999999999997" customHeight="1">
      <c r="A10" s="17"/>
      <c r="B10" s="7"/>
      <c r="C10" s="69" t="s">
        <v>178</v>
      </c>
      <c r="D10" s="144" t="s">
        <v>795</v>
      </c>
      <c r="E10" s="87"/>
      <c r="F10" s="87"/>
      <c r="G10" s="7"/>
      <c r="H10" s="7"/>
      <c r="I10" s="7"/>
      <c r="J10" s="7"/>
      <c r="K10" s="7"/>
      <c r="L10" s="7"/>
    </row>
    <row r="11" spans="1:12" ht="34.049999999999997" customHeight="1">
      <c r="A11" s="17"/>
      <c r="B11" s="7"/>
      <c r="C11" s="69" t="s">
        <v>89</v>
      </c>
      <c r="D11" s="144"/>
      <c r="E11" s="87"/>
      <c r="F11" s="87"/>
      <c r="G11" s="7"/>
      <c r="H11" s="7"/>
      <c r="I11" s="7"/>
      <c r="J11" s="7"/>
      <c r="K11" s="7"/>
      <c r="L11" s="7"/>
    </row>
    <row r="12" spans="1:12" ht="34.049999999999997" customHeight="1">
      <c r="A12" s="17"/>
      <c r="B12" s="7"/>
      <c r="C12" s="69" t="s">
        <v>430</v>
      </c>
      <c r="D12" s="144"/>
      <c r="E12" s="87"/>
      <c r="F12" s="87"/>
      <c r="G12" s="7"/>
      <c r="H12" s="7"/>
      <c r="I12" s="7"/>
      <c r="J12" s="7"/>
      <c r="K12" s="7"/>
      <c r="L12" s="7"/>
    </row>
    <row r="13" spans="1:12" ht="34.049999999999997" customHeight="1">
      <c r="A13" s="17"/>
      <c r="B13" s="7"/>
      <c r="C13" s="69" t="s">
        <v>101</v>
      </c>
      <c r="D13" s="144"/>
      <c r="E13" s="87"/>
      <c r="F13" s="87"/>
      <c r="G13" s="7"/>
      <c r="H13" s="7"/>
      <c r="I13" s="7"/>
      <c r="J13" s="7"/>
      <c r="K13" s="7"/>
      <c r="L13" s="7"/>
    </row>
    <row r="14" spans="1:12" ht="34.049999999999997" customHeight="1">
      <c r="A14" s="17"/>
      <c r="B14" s="7"/>
      <c r="C14" s="69" t="s">
        <v>106</v>
      </c>
      <c r="D14" s="144" t="s">
        <v>796</v>
      </c>
      <c r="E14" s="87"/>
      <c r="F14" s="87"/>
      <c r="G14" s="7"/>
      <c r="H14" s="7"/>
      <c r="I14" s="7"/>
      <c r="J14" s="7"/>
      <c r="K14" s="7"/>
      <c r="L14" s="7"/>
    </row>
    <row r="15" spans="1:12" ht="34.049999999999997" customHeight="1">
      <c r="A15" s="1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</row>
    <row r="16" spans="1:12" ht="34.049999999999997" customHeight="1">
      <c r="A16" s="1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1:12" ht="34.049999999999997" customHeight="1">
      <c r="A17" s="17"/>
      <c r="B17" s="7"/>
      <c r="C17" s="115" t="s">
        <v>797</v>
      </c>
      <c r="D17" s="87"/>
      <c r="E17" s="87"/>
      <c r="F17" s="87"/>
      <c r="G17" s="7"/>
      <c r="H17" s="7"/>
      <c r="I17" s="7"/>
      <c r="J17" s="7"/>
      <c r="K17" s="7"/>
      <c r="L17" s="7"/>
    </row>
    <row r="18" spans="1:12" ht="34.049999999999997" customHeight="1">
      <c r="A18" s="17"/>
      <c r="B18" s="7"/>
      <c r="C18" s="7" t="s">
        <v>97</v>
      </c>
      <c r="D18" s="7">
        <v>1</v>
      </c>
      <c r="E18" s="7"/>
      <c r="F18" s="7"/>
      <c r="G18" s="7"/>
      <c r="H18" s="7"/>
      <c r="I18" s="7"/>
      <c r="J18" s="7"/>
      <c r="K18" s="7"/>
      <c r="L18" s="7"/>
    </row>
    <row r="19" spans="1:12" ht="34.049999999999997" customHeight="1">
      <c r="A19" s="17"/>
      <c r="B19" s="7"/>
      <c r="C19" s="7" t="s">
        <v>798</v>
      </c>
      <c r="D19" s="7" t="s">
        <v>799</v>
      </c>
      <c r="E19" s="7"/>
      <c r="F19" s="7"/>
      <c r="G19" s="7"/>
      <c r="H19" s="7"/>
      <c r="I19" s="7"/>
      <c r="J19" s="7"/>
      <c r="K19" s="7"/>
      <c r="L19" s="7"/>
    </row>
    <row r="20" spans="1:12" ht="34.049999999999997" customHeight="1">
      <c r="A20" s="1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1:12" ht="34.049999999999997" customHeight="1">
      <c r="A21" s="1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</row>
    <row r="22" spans="1:12" ht="16.05" customHeight="1">
      <c r="A22" s="17"/>
      <c r="B22" s="7"/>
      <c r="C22" s="130" t="s">
        <v>800</v>
      </c>
      <c r="D22" s="128"/>
      <c r="E22" s="130" t="s">
        <v>801</v>
      </c>
      <c r="F22" s="128"/>
      <c r="G22" s="130" t="s">
        <v>802</v>
      </c>
      <c r="H22" s="128"/>
      <c r="I22" s="7"/>
      <c r="J22" s="7"/>
      <c r="K22" s="7"/>
      <c r="L22" s="7"/>
    </row>
    <row r="23" spans="1:12" ht="19.95" customHeight="1">
      <c r="A23" s="17"/>
      <c r="B23" s="7"/>
      <c r="C23" s="131" t="s">
        <v>803</v>
      </c>
      <c r="D23" s="128"/>
      <c r="E23" s="131" t="s">
        <v>804</v>
      </c>
      <c r="F23" s="128"/>
      <c r="G23" s="131" t="s">
        <v>803</v>
      </c>
      <c r="H23" s="128"/>
      <c r="I23" s="7"/>
      <c r="J23" s="7"/>
      <c r="K23" s="7"/>
      <c r="L23" s="7"/>
    </row>
    <row r="24" spans="1:12" ht="16.05" customHeight="1">
      <c r="A24" s="5"/>
      <c r="B24" s="7"/>
      <c r="C24" s="128"/>
      <c r="D24" s="128"/>
      <c r="E24" s="128"/>
      <c r="F24" s="128"/>
      <c r="G24" s="128"/>
      <c r="H24" s="128"/>
      <c r="I24" s="7"/>
      <c r="J24" s="7"/>
      <c r="K24" s="7"/>
      <c r="L24" s="7"/>
    </row>
    <row r="25" spans="1:12" ht="16.05" customHeight="1">
      <c r="A25" s="5"/>
      <c r="B25" s="7"/>
      <c r="C25" s="130" t="s">
        <v>805</v>
      </c>
      <c r="D25" s="128"/>
      <c r="E25" s="7"/>
      <c r="F25" s="7"/>
      <c r="G25" s="7"/>
      <c r="H25" s="7"/>
      <c r="I25" s="7"/>
      <c r="J25" s="7"/>
      <c r="K25" s="7"/>
      <c r="L25" s="7"/>
    </row>
    <row r="26" spans="1:12" ht="19.95" customHeight="1">
      <c r="A26" s="5"/>
      <c r="B26" s="7"/>
      <c r="C26" s="131" t="s">
        <v>806</v>
      </c>
      <c r="D26" s="128"/>
      <c r="E26" s="7"/>
      <c r="F26" s="7"/>
      <c r="G26" s="7"/>
      <c r="H26" s="7"/>
      <c r="I26" s="7"/>
      <c r="J26" s="7"/>
      <c r="K26" s="7"/>
      <c r="L26" s="7"/>
    </row>
    <row r="27" spans="1:12" ht="16.05" customHeight="1">
      <c r="A27" s="5"/>
      <c r="B27" s="7"/>
      <c r="C27" s="128"/>
      <c r="D27" s="128"/>
      <c r="E27" s="7"/>
      <c r="F27" s="7"/>
      <c r="G27" s="7"/>
      <c r="H27" s="7"/>
      <c r="I27" s="7"/>
      <c r="J27" s="7"/>
      <c r="K27" s="7"/>
      <c r="L27" s="7"/>
    </row>
    <row r="28" spans="1:12">
      <c r="A28" s="5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</row>
    <row r="29" spans="1:12">
      <c r="A29" s="5"/>
      <c r="B29" s="7"/>
      <c r="C29" s="115" t="s">
        <v>807</v>
      </c>
      <c r="D29" s="87"/>
      <c r="E29" s="87"/>
      <c r="F29" s="87"/>
      <c r="G29" s="87"/>
      <c r="H29" s="87"/>
      <c r="I29" s="7"/>
      <c r="J29" s="7"/>
      <c r="K29" s="7"/>
      <c r="L29" s="7"/>
    </row>
    <row r="30" spans="1:12">
      <c r="A30" s="5"/>
      <c r="B30" s="7"/>
      <c r="C30" s="67" t="s">
        <v>97</v>
      </c>
      <c r="D30" s="67" t="s">
        <v>98</v>
      </c>
      <c r="E30" s="67" t="s">
        <v>808</v>
      </c>
      <c r="F30" s="67" t="s">
        <v>809</v>
      </c>
      <c r="G30" s="67" t="s">
        <v>810</v>
      </c>
      <c r="H30" s="7"/>
      <c r="I30" s="7"/>
      <c r="J30" s="7"/>
      <c r="K30" s="7"/>
      <c r="L30" s="7"/>
    </row>
    <row r="31" spans="1:12">
      <c r="A31" s="5"/>
      <c r="B31" s="7"/>
      <c r="C31" s="70"/>
      <c r="D31" s="70"/>
      <c r="E31" s="70"/>
      <c r="F31" s="70"/>
      <c r="G31" s="70"/>
      <c r="H31" s="7"/>
      <c r="I31" s="7"/>
      <c r="J31" s="7"/>
      <c r="K31" s="7"/>
      <c r="L31" s="7"/>
    </row>
    <row r="32" spans="1:12">
      <c r="A32" s="5"/>
      <c r="B32" s="7"/>
      <c r="C32" s="70"/>
      <c r="D32" s="70"/>
      <c r="E32" s="70"/>
      <c r="F32" s="70"/>
      <c r="G32" s="70"/>
      <c r="H32" s="7"/>
      <c r="I32" s="7"/>
      <c r="J32" s="7"/>
      <c r="K32" s="7"/>
      <c r="L32" s="7"/>
    </row>
    <row r="33" spans="1:12">
      <c r="A33" s="5"/>
      <c r="B33" s="7"/>
      <c r="C33" s="70"/>
      <c r="D33" s="70"/>
      <c r="E33" s="70"/>
      <c r="F33" s="70"/>
      <c r="G33" s="70"/>
      <c r="H33" s="7"/>
      <c r="I33" s="7"/>
      <c r="J33" s="7"/>
      <c r="K33" s="7"/>
      <c r="L33" s="7"/>
    </row>
    <row r="34" spans="1:12">
      <c r="A34" s="5"/>
      <c r="B34" s="7"/>
      <c r="C34" s="70"/>
      <c r="D34" s="70"/>
      <c r="E34" s="70"/>
      <c r="F34" s="70"/>
      <c r="G34" s="70"/>
      <c r="H34" s="7"/>
      <c r="I34" s="7"/>
      <c r="J34" s="7"/>
      <c r="K34" s="7"/>
      <c r="L34" s="7"/>
    </row>
    <row r="35" spans="1:12">
      <c r="A35" s="5"/>
      <c r="B35" s="7"/>
      <c r="C35" s="70"/>
      <c r="D35" s="70"/>
      <c r="E35" s="70"/>
      <c r="F35" s="70"/>
      <c r="G35" s="70"/>
      <c r="H35" s="7"/>
      <c r="I35" s="7"/>
      <c r="J35" s="7"/>
      <c r="K35" s="7"/>
      <c r="L35" s="7"/>
    </row>
    <row r="36" spans="1:12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</row>
    <row r="37" spans="1:12">
      <c r="A37" s="5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</row>
    <row r="38" spans="1:12">
      <c r="A38" s="5"/>
      <c r="B38" s="7"/>
      <c r="C38" s="94" t="s">
        <v>811</v>
      </c>
      <c r="D38" s="87"/>
      <c r="E38" s="87"/>
      <c r="F38" s="87"/>
      <c r="G38" s="87"/>
      <c r="H38" s="87"/>
      <c r="I38" s="7"/>
      <c r="J38" s="7"/>
      <c r="K38" s="7"/>
      <c r="L38" s="7"/>
    </row>
    <row r="39" spans="1:12">
      <c r="A39" s="5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</row>
    <row r="40" spans="1:12">
      <c r="A40" s="5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</row>
    <row r="41" spans="1:12">
      <c r="A41" s="5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</row>
    <row r="42" spans="1:12">
      <c r="A42" s="5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</row>
    <row r="43" spans="1:12">
      <c r="A43" s="5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</row>
    <row r="44" spans="1:12">
      <c r="A44" s="5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</row>
    <row r="45" spans="1:12">
      <c r="A45" s="5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</row>
    <row r="46" spans="1:12">
      <c r="A46" s="5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</row>
    <row r="47" spans="1:12">
      <c r="A47" s="5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</row>
    <row r="48" spans="1:12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</row>
  </sheetData>
  <mergeCells count="21">
    <mergeCell ref="C1:I1"/>
    <mergeCell ref="D10:F10"/>
    <mergeCell ref="C6:H6"/>
    <mergeCell ref="C5:H5"/>
    <mergeCell ref="E23:F24"/>
    <mergeCell ref="E22:F22"/>
    <mergeCell ref="C2:I2"/>
    <mergeCell ref="G22:H22"/>
    <mergeCell ref="D9:F9"/>
    <mergeCell ref="C22:D22"/>
    <mergeCell ref="C38:H38"/>
    <mergeCell ref="D14:F14"/>
    <mergeCell ref="G23:H24"/>
    <mergeCell ref="C26:D27"/>
    <mergeCell ref="C29:H29"/>
    <mergeCell ref="D11:F11"/>
    <mergeCell ref="D13:F13"/>
    <mergeCell ref="C17:F17"/>
    <mergeCell ref="C23:D24"/>
    <mergeCell ref="C25:D25"/>
    <mergeCell ref="D12:F12"/>
  </mergeCells>
  <pageMargins left="0.75" right="0.75" top="1" bottom="1" header="0.5" footer="0.5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ilha41">
    <tabColor rgb="FFA3001E"/>
  </sheetPr>
  <dimension ref="A1:L52"/>
  <sheetViews>
    <sheetView showGridLines="0" workbookViewId="0"/>
  </sheetViews>
  <sheetFormatPr defaultRowHeight="14.4"/>
  <cols>
    <col min="1" max="1" width="24" customWidth="1"/>
    <col min="2" max="2" width="2" customWidth="1"/>
    <col min="3" max="4" width="16" customWidth="1"/>
    <col min="5" max="8" width="14" customWidth="1"/>
    <col min="9" max="9" width="12" customWidth="1"/>
  </cols>
  <sheetData>
    <row r="1" spans="1:12" ht="30" customHeight="1">
      <c r="A1" s="5"/>
      <c r="B1" s="1"/>
      <c r="C1" s="96" t="s">
        <v>0</v>
      </c>
      <c r="D1" s="87"/>
      <c r="E1" s="87"/>
      <c r="F1" s="87"/>
      <c r="G1" s="87"/>
      <c r="H1" s="87"/>
      <c r="I1" s="87"/>
      <c r="J1" s="1"/>
      <c r="K1" s="6" t="s">
        <v>7</v>
      </c>
      <c r="L1" s="7"/>
    </row>
    <row r="2" spans="1:12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87"/>
      <c r="H2" s="87"/>
      <c r="I2" s="87"/>
      <c r="J2" s="9"/>
      <c r="K2" s="10" t="str">
        <f ca="1">TEXT(DAY(NOW()),"00")&amp;"/"&amp;TEXT(MONTH(NOW()),"00")&amp;"/"&amp;YEAR(NOW())&amp;" "&amp;TEXT(HOUR(NOW()),"00")&amp;":"&amp;TEXT(MINUTE(NOW()),"00")</f>
        <v>22/07/2026 14:42</v>
      </c>
      <c r="L2" s="7"/>
    </row>
    <row r="3" spans="1:12" ht="4.05" customHeight="1">
      <c r="A3" s="11" t="s">
        <v>7</v>
      </c>
      <c r="B3" s="4"/>
      <c r="C3" s="4"/>
      <c r="D3" s="4"/>
      <c r="E3" s="4"/>
      <c r="F3" s="4"/>
      <c r="G3" s="4"/>
      <c r="H3" s="4"/>
      <c r="I3" s="4"/>
      <c r="J3" s="4"/>
      <c r="K3" s="4"/>
      <c r="L3" s="7"/>
    </row>
    <row r="4" spans="1:12" ht="6" customHeight="1">
      <c r="A4" s="12"/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1:12" ht="24.6">
      <c r="A5" s="5"/>
      <c r="B5" s="7"/>
      <c r="C5" s="146" t="s">
        <v>812</v>
      </c>
      <c r="D5" s="87"/>
      <c r="E5" s="87"/>
      <c r="F5" s="87"/>
      <c r="G5" s="87"/>
      <c r="H5" s="87"/>
      <c r="I5" s="7"/>
      <c r="J5" s="7"/>
      <c r="K5" s="7"/>
      <c r="L5" s="7"/>
    </row>
    <row r="6" spans="1:12" ht="34.049999999999997" customHeight="1">
      <c r="A6" s="17"/>
      <c r="B6" s="7"/>
      <c r="C6" s="145" t="s">
        <v>813</v>
      </c>
      <c r="D6" s="87"/>
      <c r="E6" s="87"/>
      <c r="F6" s="87"/>
      <c r="G6" s="87"/>
      <c r="H6" s="87"/>
      <c r="I6" s="7"/>
      <c r="J6" s="7"/>
      <c r="K6" s="7"/>
      <c r="L6" s="7"/>
    </row>
    <row r="7" spans="1:12" ht="34.049999999999997" customHeight="1">
      <c r="A7" s="17"/>
      <c r="B7" s="7"/>
      <c r="C7" s="7"/>
      <c r="D7" s="7"/>
      <c r="E7" s="7"/>
      <c r="F7" s="7"/>
      <c r="G7" s="7"/>
      <c r="H7" s="7"/>
      <c r="I7" s="7"/>
      <c r="J7" s="7"/>
      <c r="K7" s="7"/>
      <c r="L7" s="7"/>
    </row>
    <row r="8" spans="1:12" ht="16.05" customHeight="1">
      <c r="A8" s="17"/>
      <c r="B8" s="7"/>
      <c r="C8" s="130" t="s">
        <v>814</v>
      </c>
      <c r="D8" s="128"/>
      <c r="E8" s="130" t="s">
        <v>815</v>
      </c>
      <c r="F8" s="128"/>
      <c r="G8" s="130" t="s">
        <v>708</v>
      </c>
      <c r="H8" s="128"/>
      <c r="I8" s="7"/>
      <c r="J8" s="7"/>
      <c r="K8" s="7"/>
      <c r="L8" s="7"/>
    </row>
    <row r="9" spans="1:12" ht="19.95" customHeight="1">
      <c r="A9" s="17"/>
      <c r="B9" s="7"/>
      <c r="C9" s="131" t="s">
        <v>816</v>
      </c>
      <c r="D9" s="128"/>
      <c r="E9" s="131" t="s">
        <v>803</v>
      </c>
      <c r="F9" s="128"/>
      <c r="G9" s="131" t="s">
        <v>803</v>
      </c>
      <c r="H9" s="128"/>
      <c r="I9" s="7"/>
      <c r="J9" s="7"/>
      <c r="K9" s="7"/>
      <c r="L9" s="7"/>
    </row>
    <row r="10" spans="1:12" ht="16.05" customHeight="1">
      <c r="A10" s="17"/>
      <c r="B10" s="7"/>
      <c r="C10" s="128"/>
      <c r="D10" s="128"/>
      <c r="E10" s="128"/>
      <c r="F10" s="128"/>
      <c r="G10" s="128"/>
      <c r="H10" s="128"/>
      <c r="I10" s="7"/>
      <c r="J10" s="7"/>
      <c r="K10" s="7"/>
      <c r="L10" s="7"/>
    </row>
    <row r="11" spans="1:12" ht="16.05" customHeight="1">
      <c r="A11" s="17"/>
      <c r="B11" s="7"/>
      <c r="C11" s="130" t="s">
        <v>817</v>
      </c>
      <c r="D11" s="128"/>
      <c r="E11" s="130" t="s">
        <v>818</v>
      </c>
      <c r="F11" s="128"/>
      <c r="G11" s="7"/>
      <c r="H11" s="7"/>
      <c r="I11" s="7"/>
      <c r="J11" s="7"/>
      <c r="K11" s="7"/>
      <c r="L11" s="7"/>
    </row>
    <row r="12" spans="1:12" ht="19.95" customHeight="1">
      <c r="A12" s="17"/>
      <c r="B12" s="7"/>
      <c r="C12" s="131" t="s">
        <v>600</v>
      </c>
      <c r="D12" s="128"/>
      <c r="E12" s="131" t="s">
        <v>600</v>
      </c>
      <c r="F12" s="128"/>
      <c r="G12" s="7"/>
      <c r="H12" s="7"/>
      <c r="I12" s="7"/>
      <c r="J12" s="7"/>
      <c r="K12" s="7"/>
      <c r="L12" s="7"/>
    </row>
    <row r="13" spans="1:12" ht="16.05" customHeight="1">
      <c r="A13" s="17"/>
      <c r="B13" s="7"/>
      <c r="C13" s="128"/>
      <c r="D13" s="128"/>
      <c r="E13" s="128"/>
      <c r="F13" s="128"/>
      <c r="G13" s="7"/>
      <c r="H13" s="7"/>
      <c r="I13" s="7"/>
      <c r="J13" s="7"/>
      <c r="K13" s="7"/>
      <c r="L13" s="7"/>
    </row>
    <row r="14" spans="1:12" ht="34.049999999999997" customHeight="1">
      <c r="A14" s="1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</row>
    <row r="15" spans="1:12" ht="34.049999999999997" customHeight="1">
      <c r="A15" s="17"/>
      <c r="B15" s="7"/>
      <c r="C15" s="97" t="s">
        <v>819</v>
      </c>
      <c r="D15" s="87"/>
      <c r="E15" s="87"/>
      <c r="F15" s="87"/>
      <c r="G15" s="87"/>
      <c r="H15" s="87"/>
      <c r="I15" s="7"/>
      <c r="J15" s="7"/>
      <c r="K15" s="7"/>
      <c r="L15" s="7"/>
    </row>
    <row r="16" spans="1:12" ht="34.049999999999997" customHeight="1">
      <c r="A16" s="17"/>
      <c r="B16" s="7"/>
      <c r="C16" s="67" t="s">
        <v>820</v>
      </c>
      <c r="D16" s="67" t="s">
        <v>58</v>
      </c>
      <c r="E16" s="67" t="s">
        <v>821</v>
      </c>
      <c r="F16" s="67" t="s">
        <v>822</v>
      </c>
      <c r="G16" s="67" t="s">
        <v>106</v>
      </c>
      <c r="H16" s="7"/>
      <c r="I16" s="7"/>
      <c r="J16" s="7"/>
      <c r="K16" s="7"/>
      <c r="L16" s="7"/>
    </row>
    <row r="17" spans="1:12" ht="34.049999999999997" customHeight="1">
      <c r="A17" s="17"/>
      <c r="B17" s="7"/>
      <c r="C17" s="19"/>
      <c r="D17" s="19"/>
      <c r="E17" s="19"/>
      <c r="F17" s="19"/>
      <c r="G17" s="19"/>
      <c r="H17" s="7"/>
      <c r="I17" s="7"/>
      <c r="J17" s="7"/>
      <c r="K17" s="7"/>
      <c r="L17" s="7"/>
    </row>
    <row r="18" spans="1:12" ht="34.049999999999997" customHeight="1">
      <c r="A18" s="17"/>
      <c r="B18" s="7"/>
      <c r="C18" s="19"/>
      <c r="D18" s="19"/>
      <c r="E18" s="19"/>
      <c r="F18" s="19"/>
      <c r="G18" s="19"/>
      <c r="H18" s="7"/>
      <c r="I18" s="7"/>
      <c r="J18" s="7"/>
      <c r="K18" s="7"/>
      <c r="L18" s="7"/>
    </row>
    <row r="19" spans="1:12" ht="34.049999999999997" customHeight="1">
      <c r="A19" s="17"/>
      <c r="B19" s="7"/>
      <c r="C19" s="19"/>
      <c r="D19" s="19"/>
      <c r="E19" s="19"/>
      <c r="F19" s="19"/>
      <c r="G19" s="19"/>
      <c r="H19" s="7"/>
      <c r="I19" s="7"/>
      <c r="J19" s="7"/>
      <c r="K19" s="7"/>
      <c r="L19" s="7"/>
    </row>
    <row r="20" spans="1:12" ht="34.049999999999997" customHeight="1">
      <c r="A20" s="17"/>
      <c r="B20" s="7"/>
      <c r="C20" s="19"/>
      <c r="D20" s="19"/>
      <c r="E20" s="19"/>
      <c r="F20" s="19"/>
      <c r="G20" s="19"/>
      <c r="H20" s="7"/>
      <c r="I20" s="7"/>
      <c r="J20" s="7"/>
      <c r="K20" s="7"/>
      <c r="L20" s="7"/>
    </row>
    <row r="21" spans="1:12" ht="34.049999999999997" customHeight="1">
      <c r="A21" s="17"/>
      <c r="B21" s="7"/>
      <c r="C21" s="19"/>
      <c r="D21" s="19"/>
      <c r="E21" s="19"/>
      <c r="F21" s="19"/>
      <c r="G21" s="19"/>
      <c r="H21" s="7"/>
      <c r="I21" s="7"/>
      <c r="J21" s="7"/>
      <c r="K21" s="7"/>
      <c r="L21" s="7"/>
    </row>
    <row r="22" spans="1:12" ht="34.049999999999997" customHeight="1">
      <c r="A22" s="17"/>
      <c r="B22" s="7"/>
      <c r="C22" s="19"/>
      <c r="D22" s="19"/>
      <c r="E22" s="19"/>
      <c r="F22" s="19"/>
      <c r="G22" s="19"/>
      <c r="H22" s="7"/>
      <c r="I22" s="7"/>
      <c r="J22" s="7"/>
      <c r="K22" s="7"/>
      <c r="L22" s="7"/>
    </row>
    <row r="23" spans="1:12" ht="34.049999999999997" customHeight="1">
      <c r="A23" s="1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1:12" ht="18">
      <c r="A24" s="5"/>
      <c r="B24" s="7"/>
      <c r="C24" s="97" t="s">
        <v>823</v>
      </c>
      <c r="D24" s="87"/>
      <c r="E24" s="87"/>
      <c r="F24" s="87"/>
      <c r="G24" s="87"/>
      <c r="H24" s="87"/>
      <c r="I24" s="7"/>
      <c r="J24" s="7"/>
      <c r="K24" s="7"/>
      <c r="L24" s="7"/>
    </row>
    <row r="25" spans="1:12">
      <c r="A25" s="5"/>
      <c r="B25" s="7"/>
      <c r="C25" s="69" t="s">
        <v>98</v>
      </c>
      <c r="D25" s="144"/>
      <c r="E25" s="87"/>
      <c r="F25" s="87"/>
      <c r="G25" s="7"/>
      <c r="H25" s="7"/>
      <c r="I25" s="7"/>
      <c r="J25" s="7"/>
      <c r="K25" s="7"/>
      <c r="L25" s="7"/>
    </row>
    <row r="26" spans="1:12">
      <c r="A26" s="5"/>
      <c r="B26" s="7"/>
      <c r="C26" s="69" t="s">
        <v>96</v>
      </c>
      <c r="D26" s="144">
        <v>2</v>
      </c>
      <c r="E26" s="87"/>
      <c r="F26" s="87"/>
      <c r="G26" s="7"/>
      <c r="H26" s="7"/>
      <c r="I26" s="7"/>
      <c r="J26" s="7"/>
      <c r="K26" s="7"/>
      <c r="L26" s="7"/>
    </row>
    <row r="27" spans="1:12">
      <c r="A27" s="5"/>
      <c r="B27" s="7"/>
      <c r="C27" s="69" t="s">
        <v>824</v>
      </c>
      <c r="D27" s="144"/>
      <c r="E27" s="87"/>
      <c r="F27" s="87"/>
      <c r="G27" s="7"/>
      <c r="H27" s="7"/>
      <c r="I27" s="7"/>
      <c r="J27" s="7"/>
      <c r="K27" s="7"/>
      <c r="L27" s="7"/>
    </row>
    <row r="28" spans="1:12">
      <c r="A28" s="5"/>
      <c r="B28" s="7"/>
      <c r="C28" s="69" t="s">
        <v>89</v>
      </c>
      <c r="D28" s="144"/>
      <c r="E28" s="87"/>
      <c r="F28" s="87"/>
      <c r="G28" s="7"/>
      <c r="H28" s="7"/>
      <c r="I28" s="7"/>
      <c r="J28" s="7"/>
      <c r="K28" s="7"/>
      <c r="L28" s="7"/>
    </row>
    <row r="29" spans="1:12">
      <c r="A29" s="5"/>
      <c r="B29" s="7"/>
      <c r="C29" s="69" t="s">
        <v>781</v>
      </c>
      <c r="D29" s="144" t="s">
        <v>782</v>
      </c>
      <c r="E29" s="87"/>
      <c r="F29" s="87"/>
      <c r="G29" s="7"/>
      <c r="H29" s="7"/>
      <c r="I29" s="7"/>
      <c r="J29" s="7"/>
      <c r="K29" s="7"/>
      <c r="L29" s="7"/>
    </row>
    <row r="30" spans="1:12">
      <c r="A30" s="5"/>
      <c r="B30" s="7"/>
      <c r="C30" s="69" t="s">
        <v>825</v>
      </c>
      <c r="D30" s="144"/>
      <c r="E30" s="87"/>
      <c r="F30" s="87"/>
      <c r="G30" s="7"/>
      <c r="H30" s="7"/>
      <c r="I30" s="7"/>
      <c r="J30" s="7"/>
      <c r="K30" s="7"/>
      <c r="L30" s="7"/>
    </row>
    <row r="31" spans="1:12">
      <c r="A31" s="5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</row>
    <row r="32" spans="1:12">
      <c r="A32" s="5"/>
      <c r="B32" s="7"/>
      <c r="C32" s="115" t="s">
        <v>826</v>
      </c>
      <c r="D32" s="87"/>
      <c r="E32" s="87"/>
      <c r="F32" s="87"/>
      <c r="G32" s="87"/>
      <c r="H32" s="87"/>
      <c r="I32" s="7"/>
      <c r="J32" s="7"/>
      <c r="K32" s="7"/>
      <c r="L32" s="7"/>
    </row>
    <row r="33" spans="1:12">
      <c r="A33" s="5"/>
      <c r="B33" s="7"/>
      <c r="C33" s="7" t="s">
        <v>827</v>
      </c>
      <c r="D33" s="7">
        <v>1</v>
      </c>
      <c r="E33" s="7"/>
      <c r="F33" s="7"/>
      <c r="G33" s="7"/>
      <c r="H33" s="7"/>
      <c r="I33" s="7"/>
      <c r="J33" s="7"/>
      <c r="K33" s="7"/>
      <c r="L33" s="7"/>
    </row>
    <row r="34" spans="1:12">
      <c r="A34" s="5"/>
      <c r="B34" s="7"/>
      <c r="C34" s="7" t="s">
        <v>828</v>
      </c>
      <c r="D34" s="7">
        <v>0</v>
      </c>
      <c r="E34" s="7"/>
      <c r="F34" s="7"/>
      <c r="G34" s="7"/>
      <c r="H34" s="7"/>
      <c r="I34" s="7"/>
      <c r="J34" s="7"/>
      <c r="K34" s="7"/>
      <c r="L34" s="7"/>
    </row>
    <row r="35" spans="1:12">
      <c r="A35" s="5"/>
      <c r="B35" s="7"/>
      <c r="C35" s="7" t="s">
        <v>829</v>
      </c>
      <c r="D35" s="7" t="s">
        <v>812</v>
      </c>
      <c r="E35" s="7"/>
      <c r="F35" s="7"/>
      <c r="G35" s="7"/>
      <c r="H35" s="7"/>
      <c r="I35" s="7"/>
      <c r="J35" s="7"/>
      <c r="K35" s="7"/>
      <c r="L35" s="7"/>
    </row>
    <row r="36" spans="1:12">
      <c r="A36" s="5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</row>
    <row r="37" spans="1:12">
      <c r="A37" s="5"/>
      <c r="B37" s="7"/>
      <c r="C37" s="115" t="s">
        <v>830</v>
      </c>
      <c r="D37" s="87"/>
      <c r="E37" s="87"/>
      <c r="F37" s="87"/>
      <c r="G37" s="87"/>
      <c r="H37" s="87"/>
      <c r="I37" s="7"/>
      <c r="J37" s="7"/>
      <c r="K37" s="7"/>
      <c r="L37" s="7"/>
    </row>
    <row r="38" spans="1:12">
      <c r="A38" s="5"/>
      <c r="B38" s="7"/>
      <c r="C38" s="144" t="s">
        <v>831</v>
      </c>
      <c r="D38" s="87"/>
      <c r="E38" s="87"/>
      <c r="F38" s="87"/>
      <c r="G38" s="87"/>
      <c r="H38" s="87"/>
      <c r="I38" s="7"/>
      <c r="J38" s="7"/>
      <c r="K38" s="7"/>
      <c r="L38" s="7"/>
    </row>
    <row r="39" spans="1:12">
      <c r="A39" s="5"/>
      <c r="B39" s="7"/>
      <c r="C39" s="87"/>
      <c r="D39" s="87"/>
      <c r="E39" s="87"/>
      <c r="F39" s="87"/>
      <c r="G39" s="87"/>
      <c r="H39" s="87"/>
      <c r="I39" s="7"/>
      <c r="J39" s="7"/>
      <c r="K39" s="7"/>
      <c r="L39" s="7"/>
    </row>
    <row r="40" spans="1:12">
      <c r="A40" s="5"/>
      <c r="B40" s="7"/>
      <c r="C40" s="87"/>
      <c r="D40" s="87"/>
      <c r="E40" s="87"/>
      <c r="F40" s="87"/>
      <c r="G40" s="87"/>
      <c r="H40" s="87"/>
      <c r="I40" s="7"/>
      <c r="J40" s="7"/>
      <c r="K40" s="7"/>
      <c r="L40" s="7"/>
    </row>
    <row r="41" spans="1:12">
      <c r="A41" s="5"/>
      <c r="B41" s="7"/>
      <c r="C41" s="87"/>
      <c r="D41" s="87"/>
      <c r="E41" s="87"/>
      <c r="F41" s="87"/>
      <c r="G41" s="87"/>
      <c r="H41" s="87"/>
      <c r="I41" s="7"/>
      <c r="J41" s="7"/>
      <c r="K41" s="7"/>
      <c r="L41" s="7"/>
    </row>
    <row r="42" spans="1:12">
      <c r="A42" s="5"/>
      <c r="B42" s="7"/>
      <c r="C42" s="87"/>
      <c r="D42" s="87"/>
      <c r="E42" s="87"/>
      <c r="F42" s="87"/>
      <c r="G42" s="87"/>
      <c r="H42" s="87"/>
      <c r="I42" s="7"/>
      <c r="J42" s="7"/>
      <c r="K42" s="7"/>
      <c r="L42" s="7"/>
    </row>
    <row r="43" spans="1:12">
      <c r="A43" s="5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</row>
    <row r="44" spans="1:12">
      <c r="A44" s="5"/>
      <c r="B44" s="7"/>
      <c r="C44" s="94" t="s">
        <v>832</v>
      </c>
      <c r="D44" s="87"/>
      <c r="E44" s="87"/>
      <c r="F44" s="87"/>
      <c r="G44" s="87"/>
      <c r="H44" s="87"/>
      <c r="I44" s="7"/>
      <c r="J44" s="7"/>
      <c r="K44" s="7"/>
      <c r="L44" s="7"/>
    </row>
    <row r="45" spans="1:12">
      <c r="A45" s="5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</row>
    <row r="46" spans="1:12">
      <c r="A46" s="5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</row>
    <row r="47" spans="1:12">
      <c r="A47" s="5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</row>
    <row r="48" spans="1:12">
      <c r="A48" s="5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</row>
    <row r="49" spans="1:12">
      <c r="A49" s="5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</row>
    <row r="50" spans="1:12">
      <c r="A50" s="5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</row>
    <row r="51" spans="1:12">
      <c r="A51" s="5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</row>
    <row r="52" spans="1:12">
      <c r="A52" s="5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</row>
  </sheetData>
  <mergeCells count="26">
    <mergeCell ref="C1:I1"/>
    <mergeCell ref="C8:D8"/>
    <mergeCell ref="C15:H15"/>
    <mergeCell ref="C38:H42"/>
    <mergeCell ref="C6:H6"/>
    <mergeCell ref="C24:H24"/>
    <mergeCell ref="C5:H5"/>
    <mergeCell ref="C2:I2"/>
    <mergeCell ref="C9:D10"/>
    <mergeCell ref="E9:F10"/>
    <mergeCell ref="C12:D13"/>
    <mergeCell ref="D27:F27"/>
    <mergeCell ref="C44:H44"/>
    <mergeCell ref="G8:H8"/>
    <mergeCell ref="E8:F8"/>
    <mergeCell ref="D28:F28"/>
    <mergeCell ref="D30:F30"/>
    <mergeCell ref="D25:F25"/>
    <mergeCell ref="G9:H10"/>
    <mergeCell ref="C32:H32"/>
    <mergeCell ref="E12:F13"/>
    <mergeCell ref="D29:F29"/>
    <mergeCell ref="C11:D11"/>
    <mergeCell ref="C37:H37"/>
    <mergeCell ref="E11:F11"/>
    <mergeCell ref="D26:F26"/>
  </mergeCells>
  <pageMargins left="0.75" right="0.75" top="1" bottom="1" header="0.5" footer="0.5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ilha42">
    <tabColor rgb="FFD4AF37"/>
  </sheetPr>
  <dimension ref="A1:H36"/>
  <sheetViews>
    <sheetView showGridLines="0" workbookViewId="0"/>
  </sheetViews>
  <sheetFormatPr defaultRowHeight="14.4"/>
  <cols>
    <col min="1" max="1" width="24" customWidth="1"/>
    <col min="2" max="2" width="3" customWidth="1"/>
    <col min="3" max="3" width="36" customWidth="1"/>
    <col min="4" max="4" width="18" customWidth="1"/>
    <col min="5" max="5" width="12" customWidth="1"/>
  </cols>
  <sheetData>
    <row r="1" spans="1:8" ht="30" customHeight="1">
      <c r="A1" s="5"/>
      <c r="B1" s="1"/>
      <c r="C1" s="96" t="s">
        <v>0</v>
      </c>
      <c r="D1" s="87"/>
      <c r="E1" s="87"/>
      <c r="F1" s="87"/>
      <c r="G1" s="1"/>
      <c r="H1" s="6" t="s">
        <v>7</v>
      </c>
    </row>
    <row r="2" spans="1:8" ht="19.95" customHeight="1">
      <c r="A2" s="8" t="s">
        <v>0</v>
      </c>
      <c r="B2" s="9"/>
      <c r="C2" s="95" t="str">
        <f>"Bem-vindo, "&amp;IF(BD_SESSAO!B2="","—",BD_SESSAO!B2)&amp;"  ·  "&amp;IF(BD_SESSAO!B3="","—",BD_SESSAO!B3)</f>
        <v>Bem-vindo, —  ·  —</v>
      </c>
      <c r="D2" s="87"/>
      <c r="E2" s="87"/>
      <c r="F2" s="87"/>
      <c r="G2" s="9"/>
      <c r="H2" s="10" t="str">
        <f ca="1">TEXT(DAY(NOW()),"00")&amp;"/"&amp;TEXT(MONTH(NOW()),"00")&amp;"/"&amp;YEAR(NOW())&amp;" "&amp;TEXT(HOUR(NOW()),"00")&amp;":"&amp;TEXT(MINUTE(NOW()),"00")</f>
        <v>22/07/2026 14:42</v>
      </c>
    </row>
    <row r="3" spans="1:8" ht="4.05" customHeight="1">
      <c r="A3" s="11" t="s">
        <v>7</v>
      </c>
      <c r="B3" s="4"/>
      <c r="C3" s="4"/>
      <c r="D3" s="4"/>
      <c r="E3" s="4"/>
      <c r="F3" s="4"/>
      <c r="G3" s="4"/>
      <c r="H3" s="4"/>
    </row>
    <row r="4" spans="1:8" ht="6" customHeight="1">
      <c r="A4" s="12"/>
      <c r="B4" s="7"/>
      <c r="C4" s="7"/>
      <c r="D4" s="7"/>
      <c r="E4" s="7"/>
      <c r="F4" s="7"/>
      <c r="G4" s="7"/>
      <c r="H4" s="7"/>
    </row>
    <row r="5" spans="1:8" ht="20.399999999999999">
      <c r="A5" s="5"/>
      <c r="B5" s="7"/>
      <c r="C5" s="147" t="s">
        <v>833</v>
      </c>
      <c r="D5" s="87"/>
      <c r="E5" s="87"/>
      <c r="F5" s="7"/>
      <c r="G5" s="7"/>
      <c r="H5" s="7"/>
    </row>
    <row r="6" spans="1:8" ht="34.049999999999997" customHeight="1">
      <c r="A6" s="17"/>
      <c r="B6" s="7"/>
      <c r="C6" s="7"/>
      <c r="D6" s="7"/>
      <c r="E6" s="7"/>
      <c r="F6" s="7"/>
      <c r="G6" s="7"/>
      <c r="H6" s="7"/>
    </row>
    <row r="7" spans="1:8" ht="24" customHeight="1">
      <c r="A7" s="17"/>
      <c r="B7" s="7"/>
      <c r="C7" s="7"/>
      <c r="D7" s="7"/>
      <c r="E7" s="7"/>
      <c r="F7" s="7"/>
      <c r="G7" s="7"/>
      <c r="H7" s="7"/>
    </row>
    <row r="8" spans="1:8" ht="24" customHeight="1">
      <c r="A8" s="17"/>
      <c r="B8" s="7"/>
      <c r="C8" s="7"/>
      <c r="D8" s="7"/>
      <c r="E8" s="7"/>
      <c r="F8" s="7"/>
      <c r="G8" s="7"/>
      <c r="H8" s="7"/>
    </row>
    <row r="9" spans="1:8" ht="24" customHeight="1">
      <c r="A9" s="17"/>
      <c r="B9" s="7"/>
      <c r="C9" s="7"/>
      <c r="D9" s="7"/>
      <c r="E9" s="7"/>
      <c r="F9" s="7"/>
      <c r="G9" s="7"/>
      <c r="H9" s="7"/>
    </row>
    <row r="10" spans="1:8" ht="24" customHeight="1">
      <c r="A10" s="17"/>
      <c r="B10" s="7"/>
      <c r="C10" s="7"/>
      <c r="D10" s="7"/>
      <c r="E10" s="7"/>
      <c r="F10" s="7"/>
      <c r="G10" s="7"/>
      <c r="H10" s="7"/>
    </row>
    <row r="11" spans="1:8" ht="24" customHeight="1">
      <c r="A11" s="17"/>
      <c r="B11" s="7"/>
      <c r="C11" s="7"/>
      <c r="D11" s="7"/>
      <c r="E11" s="7"/>
      <c r="F11" s="7"/>
      <c r="G11" s="7"/>
      <c r="H11" s="7"/>
    </row>
    <row r="12" spans="1:8" ht="24" customHeight="1">
      <c r="A12" s="17"/>
      <c r="B12" s="7"/>
      <c r="C12" s="7"/>
      <c r="D12" s="7"/>
      <c r="E12" s="7"/>
      <c r="F12" s="7"/>
      <c r="G12" s="7"/>
      <c r="H12" s="7"/>
    </row>
    <row r="13" spans="1:8" ht="24" customHeight="1">
      <c r="A13" s="17"/>
      <c r="B13" s="7"/>
      <c r="C13" s="7"/>
      <c r="D13" s="7"/>
      <c r="E13" s="7"/>
      <c r="F13" s="7"/>
      <c r="G13" s="7"/>
      <c r="H13" s="7"/>
    </row>
    <row r="14" spans="1:8" ht="24" customHeight="1">
      <c r="A14" s="17"/>
      <c r="B14" s="7"/>
      <c r="C14" s="7"/>
      <c r="D14" s="7"/>
      <c r="E14" s="7"/>
      <c r="F14" s="7"/>
      <c r="G14" s="7"/>
      <c r="H14" s="7"/>
    </row>
    <row r="15" spans="1:8" ht="24" customHeight="1">
      <c r="A15" s="17"/>
      <c r="B15" s="7"/>
      <c r="C15" s="7"/>
      <c r="D15" s="7"/>
      <c r="E15" s="7"/>
      <c r="F15" s="7"/>
      <c r="G15" s="7"/>
      <c r="H15" s="7"/>
    </row>
    <row r="16" spans="1:8" ht="24" customHeight="1">
      <c r="A16" s="17"/>
      <c r="B16" s="7"/>
      <c r="C16" s="7"/>
      <c r="D16" s="7"/>
      <c r="E16" s="7"/>
      <c r="F16" s="7"/>
      <c r="G16" s="7"/>
      <c r="H16" s="7"/>
    </row>
    <row r="17" spans="1:8" ht="24" customHeight="1">
      <c r="A17" s="17"/>
      <c r="B17" s="7"/>
      <c r="C17" s="7"/>
      <c r="D17" s="7"/>
      <c r="E17" s="7"/>
      <c r="F17" s="7"/>
      <c r="G17" s="7"/>
      <c r="H17" s="7"/>
    </row>
    <row r="18" spans="1:8" ht="24" customHeight="1">
      <c r="A18" s="17"/>
      <c r="B18" s="7"/>
      <c r="C18" s="7"/>
      <c r="D18" s="7"/>
      <c r="E18" s="7"/>
      <c r="F18" s="7"/>
      <c r="G18" s="7"/>
      <c r="H18" s="7"/>
    </row>
    <row r="19" spans="1:8" ht="24" customHeight="1">
      <c r="A19" s="17"/>
      <c r="B19" s="7"/>
      <c r="C19" s="7"/>
      <c r="D19" s="7"/>
      <c r="E19" s="7"/>
      <c r="F19" s="7"/>
      <c r="G19" s="7"/>
      <c r="H19" s="7"/>
    </row>
    <row r="20" spans="1:8" ht="24" customHeight="1">
      <c r="A20" s="17"/>
      <c r="B20" s="7"/>
      <c r="C20" s="7"/>
      <c r="D20" s="7"/>
      <c r="E20" s="7"/>
      <c r="F20" s="7"/>
      <c r="G20" s="7"/>
      <c r="H20" s="7"/>
    </row>
    <row r="21" spans="1:8" ht="24" customHeight="1">
      <c r="A21" s="17"/>
      <c r="B21" s="7"/>
      <c r="C21" s="7"/>
      <c r="D21" s="7"/>
      <c r="E21" s="7"/>
      <c r="F21" s="7"/>
      <c r="G21" s="7"/>
      <c r="H21" s="7"/>
    </row>
    <row r="22" spans="1:8" ht="34.049999999999997" customHeight="1">
      <c r="A22" s="15"/>
      <c r="B22" s="7"/>
      <c r="C22" s="7"/>
      <c r="D22" s="7"/>
      <c r="E22" s="7"/>
      <c r="F22" s="7"/>
      <c r="G22" s="7"/>
      <c r="H22" s="7"/>
    </row>
    <row r="23" spans="1:8" ht="34.049999999999997" customHeight="1">
      <c r="A23" s="17"/>
      <c r="B23" s="7"/>
      <c r="C23" s="7"/>
      <c r="D23" s="7"/>
      <c r="E23" s="7"/>
      <c r="F23" s="7"/>
      <c r="G23" s="7"/>
      <c r="H23" s="7"/>
    </row>
    <row r="24" spans="1:8">
      <c r="A24" s="5"/>
      <c r="B24" s="7"/>
      <c r="C24" s="7"/>
      <c r="D24" s="7"/>
      <c r="E24" s="7"/>
      <c r="F24" s="7"/>
      <c r="G24" s="7"/>
      <c r="H24" s="7"/>
    </row>
    <row r="25" spans="1:8">
      <c r="A25" s="5"/>
      <c r="B25" s="7"/>
      <c r="C25" s="7"/>
      <c r="D25" s="7"/>
      <c r="E25" s="7"/>
      <c r="F25" s="7"/>
      <c r="G25" s="7"/>
      <c r="H25" s="7"/>
    </row>
    <row r="26" spans="1:8">
      <c r="A26" s="5"/>
      <c r="B26" s="7"/>
      <c r="C26" s="7"/>
      <c r="D26" s="7"/>
      <c r="E26" s="7"/>
      <c r="F26" s="7"/>
      <c r="G26" s="7"/>
      <c r="H26" s="7"/>
    </row>
    <row r="27" spans="1:8">
      <c r="A27" s="5"/>
      <c r="B27" s="7"/>
      <c r="C27" s="7"/>
      <c r="D27" s="7"/>
      <c r="E27" s="7"/>
      <c r="F27" s="7"/>
      <c r="G27" s="7"/>
      <c r="H27" s="7"/>
    </row>
    <row r="28" spans="1:8">
      <c r="A28" s="5"/>
      <c r="B28" s="7"/>
      <c r="C28" s="7"/>
      <c r="D28" s="7"/>
      <c r="E28" s="7"/>
      <c r="F28" s="7"/>
      <c r="G28" s="7"/>
      <c r="H28" s="7"/>
    </row>
    <row r="29" spans="1:8">
      <c r="A29" s="5"/>
      <c r="B29" s="7"/>
      <c r="C29" s="7"/>
      <c r="D29" s="7"/>
      <c r="E29" s="7"/>
      <c r="F29" s="7"/>
      <c r="G29" s="7"/>
      <c r="H29" s="7"/>
    </row>
    <row r="30" spans="1:8">
      <c r="A30" s="5"/>
      <c r="B30" s="7"/>
      <c r="C30" s="7"/>
      <c r="D30" s="7"/>
      <c r="E30" s="7"/>
      <c r="F30" s="7"/>
      <c r="G30" s="7"/>
      <c r="H30" s="7"/>
    </row>
    <row r="31" spans="1:8">
      <c r="A31" s="5"/>
      <c r="B31" s="7"/>
      <c r="C31" s="7"/>
      <c r="D31" s="7"/>
      <c r="E31" s="7"/>
      <c r="F31" s="7"/>
      <c r="G31" s="7"/>
      <c r="H31" s="7"/>
    </row>
    <row r="32" spans="1:8">
      <c r="A32" s="5"/>
      <c r="B32" s="7"/>
      <c r="C32" s="7"/>
      <c r="D32" s="7"/>
      <c r="E32" s="7"/>
      <c r="F32" s="7"/>
      <c r="G32" s="7"/>
      <c r="H32" s="7"/>
    </row>
    <row r="33" spans="1:8">
      <c r="A33" s="5"/>
      <c r="B33" s="7"/>
      <c r="C33" s="7"/>
      <c r="D33" s="7"/>
      <c r="E33" s="7"/>
      <c r="F33" s="7"/>
      <c r="G33" s="7"/>
      <c r="H33" s="7"/>
    </row>
    <row r="34" spans="1:8">
      <c r="A34" s="5"/>
      <c r="B34" s="7"/>
      <c r="C34" s="7"/>
      <c r="D34" s="7"/>
      <c r="E34" s="7"/>
      <c r="F34" s="7"/>
      <c r="G34" s="7"/>
      <c r="H34" s="7"/>
    </row>
    <row r="35" spans="1:8">
      <c r="A35" s="5"/>
      <c r="B35" s="7"/>
      <c r="C35" s="7"/>
      <c r="D35" s="7"/>
      <c r="E35" s="7"/>
      <c r="F35" s="7"/>
      <c r="G35" s="7"/>
      <c r="H35" s="7"/>
    </row>
    <row r="36" spans="1:8">
      <c r="A36" s="5"/>
      <c r="B36" s="7"/>
      <c r="C36" s="7"/>
      <c r="D36" s="7"/>
      <c r="E36" s="7"/>
      <c r="F36" s="7"/>
      <c r="G36" s="7"/>
      <c r="H36" s="7"/>
    </row>
  </sheetData>
  <mergeCells count="3">
    <mergeCell ref="C2:F2"/>
    <mergeCell ref="C1:F1"/>
    <mergeCell ref="C5:E5"/>
  </mergeCells>
  <pageMargins left="0.75" right="0.75" top="1" bottom="1" header="0.5" footer="0.5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43">
    <tabColor rgb="FFA3001E"/>
  </sheetPr>
  <dimension ref="A1:V25"/>
  <sheetViews>
    <sheetView workbookViewId="0"/>
  </sheetViews>
  <sheetFormatPr defaultRowHeight="14.4"/>
  <cols>
    <col min="1" max="1" width="16" customWidth="1"/>
    <col min="2" max="2" width="12" customWidth="1"/>
    <col min="3" max="20" width="18" customWidth="1"/>
    <col min="21" max="21" width="28" customWidth="1"/>
    <col min="22" max="22" width="14" customWidth="1"/>
  </cols>
  <sheetData>
    <row r="1" spans="1:22" ht="36" customHeight="1">
      <c r="A1" s="122" t="s">
        <v>834</v>
      </c>
      <c r="B1" s="123"/>
      <c r="C1" s="123"/>
      <c r="D1" s="123"/>
      <c r="E1" s="123"/>
      <c r="F1" s="123"/>
      <c r="G1" s="123"/>
      <c r="H1" s="123"/>
    </row>
    <row r="2" spans="1:22" ht="18" customHeight="1">
      <c r="A2" s="124" t="s">
        <v>835</v>
      </c>
      <c r="B2" s="125"/>
      <c r="C2" s="125"/>
      <c r="D2" s="125"/>
      <c r="E2" s="125"/>
      <c r="F2" s="125"/>
      <c r="G2" s="125"/>
      <c r="H2" s="125"/>
    </row>
    <row r="4" spans="1:22">
      <c r="A4" s="71" t="s">
        <v>836</v>
      </c>
    </row>
    <row r="6" spans="1:22" ht="20.399999999999999">
      <c r="A6" s="52" t="s">
        <v>837</v>
      </c>
      <c r="C6" s="52" t="s">
        <v>838</v>
      </c>
      <c r="E6" s="52" t="s">
        <v>839</v>
      </c>
      <c r="G6" s="52" t="s">
        <v>840</v>
      </c>
      <c r="I6" s="52" t="s">
        <v>841</v>
      </c>
      <c r="K6" s="52" t="s">
        <v>842</v>
      </c>
      <c r="M6" s="52" t="s">
        <v>843</v>
      </c>
      <c r="O6" s="52" t="s">
        <v>844</v>
      </c>
      <c r="Q6" s="52" t="s">
        <v>845</v>
      </c>
      <c r="S6" s="52" t="s">
        <v>846</v>
      </c>
      <c r="U6" s="72" t="s">
        <v>847</v>
      </c>
    </row>
    <row r="7" spans="1:22">
      <c r="A7" s="35" t="s">
        <v>54</v>
      </c>
      <c r="B7" s="35" t="s">
        <v>180</v>
      </c>
      <c r="C7" s="35" t="s">
        <v>200</v>
      </c>
      <c r="E7" s="35" t="s">
        <v>536</v>
      </c>
      <c r="G7" s="35" t="s">
        <v>239</v>
      </c>
      <c r="I7" s="35" t="s">
        <v>239</v>
      </c>
      <c r="K7" s="35" t="s">
        <v>106</v>
      </c>
      <c r="M7" s="35" t="s">
        <v>106</v>
      </c>
      <c r="O7" s="35" t="s">
        <v>81</v>
      </c>
      <c r="Q7" s="35" t="s">
        <v>260</v>
      </c>
      <c r="S7" s="35" t="s">
        <v>106</v>
      </c>
      <c r="U7" s="56" t="s">
        <v>848</v>
      </c>
      <c r="V7" s="56" t="s">
        <v>180</v>
      </c>
    </row>
    <row r="8" spans="1:22">
      <c r="A8" s="36" t="s">
        <v>118</v>
      </c>
      <c r="B8" s="38">
        <v>129.9</v>
      </c>
      <c r="C8" s="36" t="s">
        <v>79</v>
      </c>
      <c r="E8" s="36" t="s">
        <v>849</v>
      </c>
      <c r="G8" s="36" t="s">
        <v>850</v>
      </c>
      <c r="I8" s="36" t="s">
        <v>243</v>
      </c>
      <c r="K8" s="36" t="s">
        <v>120</v>
      </c>
      <c r="M8" s="36" t="s">
        <v>186</v>
      </c>
      <c r="O8" s="36" t="s">
        <v>125</v>
      </c>
      <c r="Q8" s="36" t="s">
        <v>266</v>
      </c>
      <c r="S8" s="36" t="s">
        <v>120</v>
      </c>
      <c r="U8" s="39" t="s">
        <v>851</v>
      </c>
      <c r="V8" s="48">
        <v>50</v>
      </c>
    </row>
    <row r="9" spans="1:22">
      <c r="A9" s="36" t="s">
        <v>128</v>
      </c>
      <c r="B9" s="38">
        <v>109.9</v>
      </c>
      <c r="C9" s="36" t="s">
        <v>852</v>
      </c>
      <c r="E9" s="36" t="s">
        <v>853</v>
      </c>
      <c r="G9" s="36" t="s">
        <v>460</v>
      </c>
      <c r="I9" s="36" t="s">
        <v>247</v>
      </c>
      <c r="K9" s="36" t="s">
        <v>145</v>
      </c>
      <c r="M9" s="36" t="s">
        <v>244</v>
      </c>
      <c r="O9" s="36" t="s">
        <v>111</v>
      </c>
      <c r="Q9" s="36" t="s">
        <v>270</v>
      </c>
      <c r="S9" s="36" t="s">
        <v>854</v>
      </c>
      <c r="U9" s="39" t="s">
        <v>855</v>
      </c>
      <c r="V9" s="39">
        <v>10</v>
      </c>
    </row>
    <row r="10" spans="1:22">
      <c r="A10" s="36" t="s">
        <v>136</v>
      </c>
      <c r="B10" s="38">
        <v>99.9</v>
      </c>
      <c r="C10" s="36" t="s">
        <v>856</v>
      </c>
      <c r="E10" s="36" t="s">
        <v>857</v>
      </c>
      <c r="G10" s="36" t="s">
        <v>159</v>
      </c>
      <c r="I10" s="36" t="s">
        <v>858</v>
      </c>
      <c r="K10" s="36" t="s">
        <v>859</v>
      </c>
      <c r="M10" s="36" t="s">
        <v>187</v>
      </c>
      <c r="O10" s="36" t="s">
        <v>860</v>
      </c>
      <c r="Q10" s="36" t="s">
        <v>861</v>
      </c>
      <c r="S10" s="36" t="s">
        <v>862</v>
      </c>
      <c r="U10" s="39" t="s">
        <v>863</v>
      </c>
      <c r="V10" s="39">
        <v>5</v>
      </c>
    </row>
    <row r="11" spans="1:22">
      <c r="A11" s="36" t="s">
        <v>144</v>
      </c>
      <c r="B11" s="38">
        <v>89.9</v>
      </c>
      <c r="C11" s="36" t="s">
        <v>864</v>
      </c>
      <c r="E11" s="36" t="s">
        <v>865</v>
      </c>
      <c r="G11" s="36" t="s">
        <v>278</v>
      </c>
      <c r="I11" s="36" t="s">
        <v>866</v>
      </c>
      <c r="K11" s="36" t="s">
        <v>166</v>
      </c>
      <c r="M11" s="36" t="s">
        <v>867</v>
      </c>
      <c r="Q11" s="36" t="s">
        <v>868</v>
      </c>
      <c r="U11" s="39" t="s">
        <v>869</v>
      </c>
      <c r="V11" s="39">
        <v>30</v>
      </c>
    </row>
    <row r="12" spans="1:22">
      <c r="A12" s="36" t="s">
        <v>159</v>
      </c>
      <c r="B12" s="38">
        <v>350</v>
      </c>
      <c r="C12" s="36" t="s">
        <v>870</v>
      </c>
      <c r="E12" s="36" t="s">
        <v>871</v>
      </c>
      <c r="G12" s="36" t="s">
        <v>633</v>
      </c>
      <c r="I12" s="36" t="s">
        <v>872</v>
      </c>
      <c r="Q12" s="36" t="s">
        <v>873</v>
      </c>
      <c r="U12" s="39" t="s">
        <v>874</v>
      </c>
      <c r="V12" s="48">
        <v>5000</v>
      </c>
    </row>
    <row r="13" spans="1:22">
      <c r="A13" s="36" t="s">
        <v>401</v>
      </c>
      <c r="B13" s="38">
        <v>40</v>
      </c>
      <c r="C13" s="36" t="s">
        <v>875</v>
      </c>
      <c r="E13" s="36" t="s">
        <v>876</v>
      </c>
      <c r="G13" s="36" t="s">
        <v>877</v>
      </c>
      <c r="I13" s="36" t="s">
        <v>878</v>
      </c>
      <c r="Q13" s="36" t="s">
        <v>274</v>
      </c>
      <c r="U13" s="39" t="s">
        <v>879</v>
      </c>
      <c r="V13" s="39">
        <v>9</v>
      </c>
    </row>
    <row r="14" spans="1:22">
      <c r="E14" s="36" t="s">
        <v>880</v>
      </c>
      <c r="I14" s="36" t="s">
        <v>881</v>
      </c>
      <c r="Q14" s="36" t="s">
        <v>278</v>
      </c>
      <c r="U14" s="39" t="s">
        <v>882</v>
      </c>
      <c r="V14" s="48">
        <v>50000</v>
      </c>
    </row>
    <row r="15" spans="1:22">
      <c r="I15" s="36" t="s">
        <v>21</v>
      </c>
      <c r="U15" s="39" t="s">
        <v>883</v>
      </c>
      <c r="V15" s="39" t="s">
        <v>884</v>
      </c>
    </row>
    <row r="16" spans="1:22">
      <c r="I16" s="36" t="s">
        <v>885</v>
      </c>
      <c r="U16" s="39" t="s">
        <v>886</v>
      </c>
      <c r="V16" s="39" t="s">
        <v>884</v>
      </c>
    </row>
    <row r="17" spans="9:22" ht="18">
      <c r="I17" s="36" t="s">
        <v>250</v>
      </c>
      <c r="U17" s="43" t="s">
        <v>887</v>
      </c>
    </row>
    <row r="18" spans="9:22">
      <c r="I18" s="36" t="s">
        <v>888</v>
      </c>
      <c r="U18" s="71" t="s">
        <v>889</v>
      </c>
    </row>
    <row r="19" spans="9:22">
      <c r="I19" s="36" t="s">
        <v>890</v>
      </c>
      <c r="U19" s="71" t="s">
        <v>891</v>
      </c>
    </row>
    <row r="20" spans="9:22">
      <c r="I20" s="36" t="s">
        <v>256</v>
      </c>
      <c r="U20" s="36" t="s">
        <v>892</v>
      </c>
      <c r="V20" s="39"/>
    </row>
    <row r="21" spans="9:22">
      <c r="I21" s="36" t="s">
        <v>877</v>
      </c>
      <c r="U21" s="36" t="s">
        <v>893</v>
      </c>
      <c r="V21" s="39"/>
    </row>
    <row r="22" spans="9:22">
      <c r="U22" s="71" t="s">
        <v>894</v>
      </c>
    </row>
    <row r="23" spans="9:22">
      <c r="U23" s="71" t="s">
        <v>895</v>
      </c>
    </row>
    <row r="24" spans="9:22">
      <c r="U24" s="71" t="s">
        <v>896</v>
      </c>
    </row>
    <row r="25" spans="9:22">
      <c r="U25" s="71" t="s">
        <v>897</v>
      </c>
    </row>
  </sheetData>
  <mergeCells count="2">
    <mergeCell ref="A2:H2"/>
    <mergeCell ref="A1:H1"/>
  </mergeCells>
  <pageMargins left="0.75" right="0.75" top="1" bottom="1" header="0.5" footer="0.5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44">
    <tabColor rgb="FFA3001E"/>
  </sheetPr>
  <dimension ref="A1:J11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3" width="10" customWidth="1"/>
    <col min="4" max="4" width="22" customWidth="1"/>
    <col min="5" max="5" width="14" customWidth="1"/>
    <col min="6" max="6" width="12" customWidth="1"/>
    <col min="7" max="7" width="16" customWidth="1"/>
    <col min="8" max="8" width="10" customWidth="1"/>
    <col min="9" max="9" width="22" customWidth="1"/>
    <col min="10" max="10" width="16" customWidth="1"/>
  </cols>
  <sheetData>
    <row r="1" spans="1:10">
      <c r="A1" s="35" t="s">
        <v>70</v>
      </c>
      <c r="B1" s="35" t="s">
        <v>96</v>
      </c>
      <c r="C1" s="35" t="s">
        <v>97</v>
      </c>
      <c r="D1" s="35" t="s">
        <v>98</v>
      </c>
      <c r="E1" s="35" t="s">
        <v>898</v>
      </c>
      <c r="F1" s="35" t="s">
        <v>899</v>
      </c>
      <c r="G1" s="35" t="s">
        <v>900</v>
      </c>
      <c r="H1" s="35" t="s">
        <v>106</v>
      </c>
      <c r="I1" s="35" t="s">
        <v>901</v>
      </c>
      <c r="J1" s="35" t="s">
        <v>73</v>
      </c>
    </row>
    <row r="2" spans="1:10">
      <c r="A2">
        <v>1</v>
      </c>
      <c r="B2">
        <v>0</v>
      </c>
      <c r="C2">
        <v>0</v>
      </c>
      <c r="D2" t="s">
        <v>902</v>
      </c>
      <c r="E2" t="s">
        <v>903</v>
      </c>
      <c r="F2" t="s">
        <v>787</v>
      </c>
      <c r="G2" t="s">
        <v>904</v>
      </c>
      <c r="H2" t="s">
        <v>120</v>
      </c>
    </row>
    <row r="3" spans="1:10">
      <c r="A3">
        <v>2</v>
      </c>
      <c r="B3">
        <v>1</v>
      </c>
      <c r="C3">
        <v>0</v>
      </c>
      <c r="D3" t="s">
        <v>789</v>
      </c>
      <c r="E3" t="s">
        <v>785</v>
      </c>
      <c r="F3" t="s">
        <v>787</v>
      </c>
      <c r="G3" t="s">
        <v>789</v>
      </c>
      <c r="H3" t="s">
        <v>120</v>
      </c>
    </row>
    <row r="4" spans="1:10">
      <c r="A4">
        <v>3</v>
      </c>
      <c r="B4">
        <v>1</v>
      </c>
      <c r="C4">
        <v>1</v>
      </c>
      <c r="D4" t="s">
        <v>19</v>
      </c>
      <c r="E4" t="s">
        <v>905</v>
      </c>
      <c r="F4" t="s">
        <v>787</v>
      </c>
      <c r="G4" t="s">
        <v>19</v>
      </c>
      <c r="H4" t="s">
        <v>120</v>
      </c>
    </row>
    <row r="5" spans="1:10">
      <c r="A5">
        <v>4</v>
      </c>
      <c r="B5">
        <v>1</v>
      </c>
      <c r="C5">
        <v>1</v>
      </c>
      <c r="D5" t="s">
        <v>906</v>
      </c>
      <c r="E5" t="s">
        <v>907</v>
      </c>
      <c r="F5" t="s">
        <v>787</v>
      </c>
      <c r="G5" t="s">
        <v>906</v>
      </c>
      <c r="H5" t="s">
        <v>120</v>
      </c>
    </row>
    <row r="6" spans="1:10">
      <c r="A6">
        <v>5</v>
      </c>
      <c r="B6">
        <v>1</v>
      </c>
      <c r="C6">
        <v>1</v>
      </c>
      <c r="D6" t="s">
        <v>76</v>
      </c>
      <c r="E6" t="s">
        <v>908</v>
      </c>
      <c r="F6" t="s">
        <v>787</v>
      </c>
      <c r="G6" t="s">
        <v>76</v>
      </c>
      <c r="H6" t="s">
        <v>120</v>
      </c>
    </row>
    <row r="7" spans="1:10">
      <c r="A7">
        <v>6</v>
      </c>
      <c r="B7">
        <v>1</v>
      </c>
      <c r="C7">
        <v>1</v>
      </c>
      <c r="D7" t="s">
        <v>909</v>
      </c>
      <c r="E7" t="s">
        <v>687</v>
      </c>
      <c r="F7" t="s">
        <v>787</v>
      </c>
      <c r="G7" t="s">
        <v>177</v>
      </c>
      <c r="H7" t="s">
        <v>120</v>
      </c>
      <c r="I7" t="s">
        <v>910</v>
      </c>
      <c r="J7" t="s">
        <v>107</v>
      </c>
    </row>
    <row r="8" spans="1:10">
      <c r="A8">
        <v>7</v>
      </c>
      <c r="B8">
        <v>0</v>
      </c>
      <c r="C8">
        <v>0</v>
      </c>
      <c r="D8" t="s">
        <v>911</v>
      </c>
      <c r="E8" t="s">
        <v>912</v>
      </c>
      <c r="F8" t="s">
        <v>787</v>
      </c>
      <c r="G8" t="s">
        <v>913</v>
      </c>
      <c r="H8" t="s">
        <v>120</v>
      </c>
    </row>
    <row r="9" spans="1:10">
      <c r="A9">
        <v>8</v>
      </c>
      <c r="B9">
        <v>1</v>
      </c>
      <c r="C9">
        <v>0</v>
      </c>
      <c r="D9" t="s">
        <v>914</v>
      </c>
      <c r="E9" t="s">
        <v>915</v>
      </c>
      <c r="F9" t="s">
        <v>787</v>
      </c>
      <c r="G9" t="s">
        <v>916</v>
      </c>
      <c r="H9" t="s">
        <v>120</v>
      </c>
    </row>
    <row r="11" spans="1:10">
      <c r="A11" s="73" t="s">
        <v>917</v>
      </c>
    </row>
  </sheetData>
  <pageMargins left="0.75" right="0.75" top="1" bottom="1" header="0.5" footer="0.5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ilha45">
    <tabColor rgb="FFD4AF37"/>
  </sheetPr>
  <dimension ref="A1:A13"/>
  <sheetViews>
    <sheetView showGridLines="0" workbookViewId="0"/>
  </sheetViews>
  <sheetFormatPr defaultRowHeight="14.4"/>
  <cols>
    <col min="1" max="1" width="18" customWidth="1"/>
    <col min="2" max="2" width="28" customWidth="1"/>
  </cols>
  <sheetData>
    <row r="1" spans="1:1">
      <c r="A1" s="33" t="s">
        <v>918</v>
      </c>
    </row>
    <row r="2" spans="1:1">
      <c r="A2" s="33" t="s">
        <v>919</v>
      </c>
    </row>
    <row r="3" spans="1:1">
      <c r="A3" s="33" t="s">
        <v>920</v>
      </c>
    </row>
    <row r="4" spans="1:1">
      <c r="A4" s="33" t="s">
        <v>921</v>
      </c>
    </row>
    <row r="5" spans="1:1">
      <c r="A5" s="33" t="s">
        <v>96</v>
      </c>
    </row>
    <row r="6" spans="1:1">
      <c r="A6" s="33" t="s">
        <v>922</v>
      </c>
    </row>
    <row r="7" spans="1:1">
      <c r="A7" s="33" t="s">
        <v>923</v>
      </c>
    </row>
    <row r="8" spans="1:1">
      <c r="A8" s="33" t="s">
        <v>97</v>
      </c>
    </row>
    <row r="9" spans="1:1">
      <c r="A9" s="33" t="s">
        <v>924</v>
      </c>
    </row>
    <row r="10" spans="1:1">
      <c r="A10" s="33" t="s">
        <v>827</v>
      </c>
    </row>
    <row r="11" spans="1:1">
      <c r="A11" s="33" t="s">
        <v>828</v>
      </c>
    </row>
    <row r="13" spans="1:1">
      <c r="A13" s="73" t="s">
        <v>925</v>
      </c>
    </row>
  </sheetData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ilha46">
    <tabColor rgb="FFA3001E"/>
  </sheetPr>
  <dimension ref="A1:W12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3" width="10" customWidth="1"/>
    <col min="4" max="4" width="16" customWidth="1"/>
    <col min="5" max="5" width="22" customWidth="1"/>
    <col min="6" max="6" width="15" customWidth="1"/>
    <col min="7" max="7" width="12" customWidth="1"/>
    <col min="8" max="8" width="13" customWidth="1"/>
    <col min="9" max="9" width="10" customWidth="1"/>
    <col min="10" max="11" width="15" customWidth="1"/>
    <col min="12" max="12" width="22" customWidth="1"/>
    <col min="13" max="13" width="11" customWidth="1"/>
    <col min="14" max="14" width="16" customWidth="1"/>
    <col min="15" max="15" width="8" customWidth="1"/>
    <col min="16" max="18" width="12" customWidth="1"/>
    <col min="19" max="19" width="16" customWidth="1"/>
    <col min="20" max="20" width="11" customWidth="1"/>
    <col min="21" max="21" width="14" customWidth="1"/>
    <col min="22" max="23" width="12" customWidth="1"/>
  </cols>
  <sheetData>
    <row r="1" spans="1:23" ht="28.8">
      <c r="A1" s="35" t="s">
        <v>70</v>
      </c>
      <c r="B1" s="35" t="s">
        <v>96</v>
      </c>
      <c r="C1" s="35" t="s">
        <v>97</v>
      </c>
      <c r="D1" s="35" t="s">
        <v>73</v>
      </c>
      <c r="E1" s="35" t="s">
        <v>98</v>
      </c>
      <c r="F1" s="35" t="s">
        <v>99</v>
      </c>
      <c r="G1" s="35" t="s">
        <v>80</v>
      </c>
      <c r="H1" s="35" t="s">
        <v>100</v>
      </c>
      <c r="I1" s="35" t="s">
        <v>81</v>
      </c>
      <c r="J1" s="35" t="s">
        <v>101</v>
      </c>
      <c r="K1" s="35" t="s">
        <v>102</v>
      </c>
      <c r="L1" s="35" t="s">
        <v>84</v>
      </c>
      <c r="M1" s="35" t="s">
        <v>85</v>
      </c>
      <c r="N1" s="35" t="s">
        <v>86</v>
      </c>
      <c r="O1" s="35" t="s">
        <v>87</v>
      </c>
      <c r="P1" s="35" t="s">
        <v>88</v>
      </c>
      <c r="Q1" s="35" t="s">
        <v>89</v>
      </c>
      <c r="R1" s="35" t="s">
        <v>54</v>
      </c>
      <c r="S1" s="35" t="s">
        <v>76</v>
      </c>
      <c r="T1" s="35" t="s">
        <v>103</v>
      </c>
      <c r="U1" s="35" t="s">
        <v>104</v>
      </c>
      <c r="V1" s="35" t="s">
        <v>105</v>
      </c>
      <c r="W1" s="35" t="s">
        <v>106</v>
      </c>
    </row>
    <row r="2" spans="1:23">
      <c r="A2" s="36">
        <v>1</v>
      </c>
      <c r="B2" s="36">
        <v>1</v>
      </c>
      <c r="C2" s="36">
        <v>1</v>
      </c>
      <c r="D2" s="36" t="s">
        <v>107</v>
      </c>
      <c r="E2" s="36" t="s">
        <v>108</v>
      </c>
      <c r="F2" s="74" t="s">
        <v>109</v>
      </c>
      <c r="G2" s="74" t="s">
        <v>110</v>
      </c>
      <c r="H2" s="37">
        <v>34801</v>
      </c>
      <c r="I2" s="36" t="s">
        <v>111</v>
      </c>
      <c r="J2" s="74" t="s">
        <v>112</v>
      </c>
      <c r="K2" s="74" t="s">
        <v>112</v>
      </c>
      <c r="L2" s="36" t="s">
        <v>113</v>
      </c>
      <c r="M2" s="74" t="s">
        <v>114</v>
      </c>
      <c r="N2" s="36" t="s">
        <v>115</v>
      </c>
      <c r="O2" s="74" t="s">
        <v>116</v>
      </c>
      <c r="P2" s="36" t="s">
        <v>117</v>
      </c>
      <c r="Q2" s="36" t="s">
        <v>90</v>
      </c>
      <c r="R2" s="36" t="s">
        <v>118</v>
      </c>
      <c r="S2" s="36" t="s">
        <v>119</v>
      </c>
      <c r="T2" s="38">
        <v>129.9</v>
      </c>
      <c r="U2" s="36" t="s">
        <v>79</v>
      </c>
      <c r="V2" s="37">
        <v>46027</v>
      </c>
      <c r="W2" s="36" t="s">
        <v>120</v>
      </c>
    </row>
    <row r="3" spans="1:23">
      <c r="A3" s="36">
        <v>2</v>
      </c>
      <c r="B3" s="36">
        <v>1</v>
      </c>
      <c r="C3" s="36">
        <v>1</v>
      </c>
      <c r="D3" s="36" t="s">
        <v>121</v>
      </c>
      <c r="E3" s="36" t="s">
        <v>122</v>
      </c>
      <c r="F3" s="74" t="s">
        <v>123</v>
      </c>
      <c r="G3" s="74" t="s">
        <v>124</v>
      </c>
      <c r="H3" s="37">
        <v>33107</v>
      </c>
      <c r="I3" s="36" t="s">
        <v>125</v>
      </c>
      <c r="J3" s="74" t="s">
        <v>126</v>
      </c>
      <c r="K3" s="74" t="s">
        <v>126</v>
      </c>
      <c r="L3" s="36" t="s">
        <v>127</v>
      </c>
      <c r="M3" s="74" t="s">
        <v>114</v>
      </c>
      <c r="N3" s="36" t="s">
        <v>115</v>
      </c>
      <c r="O3" s="74" t="s">
        <v>116</v>
      </c>
      <c r="P3" s="36" t="s">
        <v>117</v>
      </c>
      <c r="Q3" s="36" t="s">
        <v>90</v>
      </c>
      <c r="R3" s="36" t="s">
        <v>128</v>
      </c>
      <c r="S3" s="36" t="s">
        <v>129</v>
      </c>
      <c r="T3" s="38">
        <v>109.9</v>
      </c>
      <c r="U3" s="36" t="s">
        <v>79</v>
      </c>
      <c r="V3" s="37">
        <v>46054</v>
      </c>
      <c r="W3" s="36" t="s">
        <v>120</v>
      </c>
    </row>
    <row r="4" spans="1:23">
      <c r="A4" s="36">
        <v>3</v>
      </c>
      <c r="B4" s="36">
        <v>1</v>
      </c>
      <c r="C4" s="36">
        <v>1</v>
      </c>
      <c r="D4" s="36" t="s">
        <v>130</v>
      </c>
      <c r="E4" s="36" t="s">
        <v>131</v>
      </c>
      <c r="F4" s="74" t="s">
        <v>132</v>
      </c>
      <c r="G4" s="74" t="s">
        <v>133</v>
      </c>
      <c r="H4" s="37">
        <v>35825</v>
      </c>
      <c r="I4" s="36" t="s">
        <v>111</v>
      </c>
      <c r="J4" s="74" t="s">
        <v>134</v>
      </c>
      <c r="K4" s="74" t="s">
        <v>134</v>
      </c>
      <c r="L4" s="36" t="s">
        <v>135</v>
      </c>
      <c r="M4" s="74" t="s">
        <v>114</v>
      </c>
      <c r="N4" s="36" t="s">
        <v>115</v>
      </c>
      <c r="O4" s="74" t="s">
        <v>116</v>
      </c>
      <c r="P4" s="36" t="s">
        <v>117</v>
      </c>
      <c r="Q4" s="36" t="s">
        <v>90</v>
      </c>
      <c r="R4" s="36" t="s">
        <v>136</v>
      </c>
      <c r="S4" s="36" t="s">
        <v>137</v>
      </c>
      <c r="T4" s="38">
        <v>99.9</v>
      </c>
      <c r="U4" s="36" t="s">
        <v>79</v>
      </c>
      <c r="V4" s="37">
        <v>46001</v>
      </c>
      <c r="W4" s="36" t="s">
        <v>120</v>
      </c>
    </row>
    <row r="5" spans="1:23">
      <c r="A5" s="36">
        <v>4</v>
      </c>
      <c r="B5" s="36">
        <v>1</v>
      </c>
      <c r="C5" s="36">
        <v>1</v>
      </c>
      <c r="D5" s="36" t="s">
        <v>138</v>
      </c>
      <c r="E5" s="36" t="s">
        <v>139</v>
      </c>
      <c r="F5" s="74" t="s">
        <v>140</v>
      </c>
      <c r="G5" s="74" t="s">
        <v>141</v>
      </c>
      <c r="H5" s="37">
        <v>32452</v>
      </c>
      <c r="I5" s="36" t="s">
        <v>125</v>
      </c>
      <c r="J5" s="74" t="s">
        <v>142</v>
      </c>
      <c r="K5" s="74" t="s">
        <v>142</v>
      </c>
      <c r="L5" s="36" t="s">
        <v>143</v>
      </c>
      <c r="M5" s="74" t="s">
        <v>114</v>
      </c>
      <c r="N5" s="36" t="s">
        <v>115</v>
      </c>
      <c r="O5" s="74" t="s">
        <v>116</v>
      </c>
      <c r="P5" s="36" t="s">
        <v>117</v>
      </c>
      <c r="Q5" s="36" t="s">
        <v>90</v>
      </c>
      <c r="R5" s="36" t="s">
        <v>144</v>
      </c>
      <c r="S5" s="36" t="s">
        <v>119</v>
      </c>
      <c r="T5" s="38">
        <v>89.9</v>
      </c>
      <c r="U5" s="36" t="s">
        <v>79</v>
      </c>
      <c r="V5" s="37">
        <v>45853</v>
      </c>
      <c r="W5" s="36" t="s">
        <v>145</v>
      </c>
    </row>
    <row r="6" spans="1:23">
      <c r="A6" s="36">
        <v>5</v>
      </c>
      <c r="B6" s="36">
        <v>1</v>
      </c>
      <c r="C6" s="36">
        <v>1</v>
      </c>
      <c r="D6" s="36" t="s">
        <v>146</v>
      </c>
      <c r="E6" s="36" t="s">
        <v>147</v>
      </c>
      <c r="F6" s="74" t="s">
        <v>148</v>
      </c>
      <c r="G6" s="74" t="s">
        <v>149</v>
      </c>
      <c r="H6" s="37">
        <v>37060</v>
      </c>
      <c r="I6" s="36" t="s">
        <v>111</v>
      </c>
      <c r="J6" s="74" t="s">
        <v>150</v>
      </c>
      <c r="K6" s="74" t="s">
        <v>150</v>
      </c>
      <c r="L6" s="36" t="s">
        <v>151</v>
      </c>
      <c r="M6" s="74" t="s">
        <v>114</v>
      </c>
      <c r="N6" s="36" t="s">
        <v>115</v>
      </c>
      <c r="O6" s="74" t="s">
        <v>116</v>
      </c>
      <c r="P6" s="36" t="s">
        <v>117</v>
      </c>
      <c r="Q6" s="36" t="s">
        <v>90</v>
      </c>
      <c r="R6" s="36" t="s">
        <v>118</v>
      </c>
      <c r="S6" s="36" t="s">
        <v>152</v>
      </c>
      <c r="T6" s="38">
        <v>129.9</v>
      </c>
      <c r="U6" s="36" t="s">
        <v>79</v>
      </c>
      <c r="V6" s="37">
        <v>46082</v>
      </c>
      <c r="W6" s="36" t="s">
        <v>120</v>
      </c>
    </row>
    <row r="7" spans="1:23">
      <c r="A7" s="36">
        <v>6</v>
      </c>
      <c r="B7" s="36">
        <v>1</v>
      </c>
      <c r="C7" s="36">
        <v>1</v>
      </c>
      <c r="D7" s="36" t="s">
        <v>153</v>
      </c>
      <c r="E7" s="36" t="s">
        <v>154</v>
      </c>
      <c r="F7" s="74" t="s">
        <v>155</v>
      </c>
      <c r="G7" s="74" t="s">
        <v>156</v>
      </c>
      <c r="H7" s="37">
        <v>34221</v>
      </c>
      <c r="I7" s="36" t="s">
        <v>125</v>
      </c>
      <c r="J7" s="74" t="s">
        <v>157</v>
      </c>
      <c r="K7" s="74" t="s">
        <v>157</v>
      </c>
      <c r="L7" s="36" t="s">
        <v>158</v>
      </c>
      <c r="M7" s="74" t="s">
        <v>114</v>
      </c>
      <c r="N7" s="36" t="s">
        <v>115</v>
      </c>
      <c r="O7" s="74" t="s">
        <v>116</v>
      </c>
      <c r="P7" s="36" t="s">
        <v>117</v>
      </c>
      <c r="Q7" s="36" t="s">
        <v>90</v>
      </c>
      <c r="R7" s="36" t="s">
        <v>159</v>
      </c>
      <c r="S7" s="36" t="s">
        <v>137</v>
      </c>
      <c r="T7" s="38">
        <v>350</v>
      </c>
      <c r="U7" s="36" t="s">
        <v>79</v>
      </c>
      <c r="V7" s="37">
        <v>46042</v>
      </c>
      <c r="W7" s="36" t="s">
        <v>120</v>
      </c>
    </row>
    <row r="8" spans="1:23">
      <c r="A8" s="36">
        <v>7</v>
      </c>
      <c r="B8" s="36">
        <v>1</v>
      </c>
      <c r="C8" s="36">
        <v>1</v>
      </c>
      <c r="D8" s="36" t="s">
        <v>160</v>
      </c>
      <c r="E8" s="36" t="s">
        <v>161</v>
      </c>
      <c r="F8" s="74" t="s">
        <v>162</v>
      </c>
      <c r="G8" s="74" t="s">
        <v>163</v>
      </c>
      <c r="H8" s="37">
        <v>35475</v>
      </c>
      <c r="I8" s="36" t="s">
        <v>111</v>
      </c>
      <c r="J8" s="74" t="s">
        <v>164</v>
      </c>
      <c r="K8" s="74" t="s">
        <v>164</v>
      </c>
      <c r="L8" s="36" t="s">
        <v>165</v>
      </c>
      <c r="M8" s="74" t="s">
        <v>114</v>
      </c>
      <c r="N8" s="36" t="s">
        <v>115</v>
      </c>
      <c r="O8" s="74" t="s">
        <v>116</v>
      </c>
      <c r="P8" s="36" t="s">
        <v>117</v>
      </c>
      <c r="Q8" s="36" t="s">
        <v>90</v>
      </c>
      <c r="R8" s="36" t="s">
        <v>118</v>
      </c>
      <c r="S8" s="36" t="s">
        <v>129</v>
      </c>
      <c r="T8" s="38">
        <v>129.9</v>
      </c>
      <c r="U8" s="36" t="s">
        <v>79</v>
      </c>
      <c r="V8" s="37">
        <v>45931</v>
      </c>
      <c r="W8" s="36" t="s">
        <v>166</v>
      </c>
    </row>
    <row r="9" spans="1:23">
      <c r="A9" s="36">
        <v>8</v>
      </c>
      <c r="B9" s="36">
        <v>1</v>
      </c>
      <c r="C9" s="36">
        <v>1</v>
      </c>
      <c r="D9" s="36" t="s">
        <v>167</v>
      </c>
      <c r="E9" s="36" t="s">
        <v>168</v>
      </c>
      <c r="F9" s="74" t="s">
        <v>169</v>
      </c>
      <c r="G9" s="74" t="s">
        <v>170</v>
      </c>
      <c r="H9" s="37">
        <v>31384</v>
      </c>
      <c r="I9" s="36" t="s">
        <v>125</v>
      </c>
      <c r="J9" s="74" t="s">
        <v>171</v>
      </c>
      <c r="K9" s="74" t="s">
        <v>171</v>
      </c>
      <c r="L9" s="36" t="s">
        <v>172</v>
      </c>
      <c r="M9" s="74" t="s">
        <v>114</v>
      </c>
      <c r="N9" s="36" t="s">
        <v>115</v>
      </c>
      <c r="O9" s="74" t="s">
        <v>116</v>
      </c>
      <c r="P9" s="36" t="s">
        <v>117</v>
      </c>
      <c r="Q9" s="36" t="s">
        <v>90</v>
      </c>
      <c r="R9" s="36" t="s">
        <v>128</v>
      </c>
      <c r="S9" s="36" t="s">
        <v>119</v>
      </c>
      <c r="T9" s="38">
        <v>109.9</v>
      </c>
      <c r="U9" s="36" t="s">
        <v>79</v>
      </c>
      <c r="V9" s="37">
        <v>46113</v>
      </c>
      <c r="W9" s="36" t="s">
        <v>120</v>
      </c>
    </row>
    <row r="10" spans="1:23">
      <c r="F10" s="75"/>
      <c r="G10" s="75"/>
      <c r="J10" s="75"/>
      <c r="K10" s="75"/>
      <c r="M10" s="75"/>
      <c r="O10" s="75"/>
    </row>
    <row r="12" spans="1:23">
      <c r="A12" s="73" t="s">
        <v>926</v>
      </c>
    </row>
  </sheetData>
  <pageMargins left="0.75" right="0.75" top="1" bottom="1" header="0.5" footer="0.5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Planilha47">
    <tabColor rgb="FFA3001E"/>
  </sheetPr>
  <dimension ref="A1:P33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3" width="10" customWidth="1"/>
    <col min="4" max="4" width="14" customWidth="1"/>
    <col min="5" max="5" width="22" customWidth="1"/>
    <col min="6" max="6" width="14" customWidth="1"/>
    <col min="7" max="7" width="12" customWidth="1"/>
    <col min="8" max="10" width="10" customWidth="1"/>
    <col min="11" max="11" width="12" customWidth="1"/>
    <col min="12" max="12" width="14" customWidth="1"/>
    <col min="13" max="15" width="12" customWidth="1"/>
    <col min="16" max="16" width="20" customWidth="1"/>
  </cols>
  <sheetData>
    <row r="1" spans="1:16" ht="28.8">
      <c r="A1" s="35" t="s">
        <v>70</v>
      </c>
      <c r="B1" s="35" t="s">
        <v>96</v>
      </c>
      <c r="C1" s="35" t="s">
        <v>97</v>
      </c>
      <c r="D1" s="35" t="s">
        <v>73</v>
      </c>
      <c r="E1" s="35" t="s">
        <v>98</v>
      </c>
      <c r="F1" s="35" t="s">
        <v>179</v>
      </c>
      <c r="G1" s="35" t="s">
        <v>201</v>
      </c>
      <c r="H1" s="35" t="s">
        <v>927</v>
      </c>
      <c r="I1" s="35" t="s">
        <v>928</v>
      </c>
      <c r="J1" s="35" t="s">
        <v>929</v>
      </c>
      <c r="K1" s="35" t="s">
        <v>198</v>
      </c>
      <c r="L1" s="35" t="s">
        <v>183</v>
      </c>
      <c r="M1" s="35" t="s">
        <v>930</v>
      </c>
      <c r="N1" s="35" t="s">
        <v>931</v>
      </c>
      <c r="O1" s="35" t="s">
        <v>199</v>
      </c>
      <c r="P1" s="35" t="s">
        <v>223</v>
      </c>
    </row>
    <row r="2" spans="1:16">
      <c r="A2" s="36">
        <v>1</v>
      </c>
      <c r="B2" s="36">
        <v>1</v>
      </c>
      <c r="C2" s="36">
        <v>1</v>
      </c>
      <c r="D2" s="36" t="s">
        <v>107</v>
      </c>
      <c r="E2" s="36" t="s">
        <v>108</v>
      </c>
      <c r="F2" s="36" t="s">
        <v>932</v>
      </c>
      <c r="G2" s="38">
        <v>129.9</v>
      </c>
      <c r="H2" s="38">
        <v>0</v>
      </c>
      <c r="I2" s="38">
        <v>0</v>
      </c>
      <c r="J2" s="38">
        <v>0</v>
      </c>
      <c r="K2" s="38">
        <v>129.9</v>
      </c>
      <c r="L2" s="36" t="s">
        <v>79</v>
      </c>
      <c r="M2" s="37">
        <v>46122</v>
      </c>
      <c r="N2" s="37">
        <v>46120</v>
      </c>
      <c r="O2" s="36" t="s">
        <v>186</v>
      </c>
      <c r="P2" s="36"/>
    </row>
    <row r="3" spans="1:16">
      <c r="A3" s="36">
        <v>2</v>
      </c>
      <c r="B3" s="36">
        <v>1</v>
      </c>
      <c r="C3" s="36">
        <v>1</v>
      </c>
      <c r="D3" s="36" t="s">
        <v>107</v>
      </c>
      <c r="E3" s="36" t="s">
        <v>108</v>
      </c>
      <c r="F3" s="36" t="s">
        <v>933</v>
      </c>
      <c r="G3" s="38">
        <v>129.9</v>
      </c>
      <c r="H3" s="38">
        <v>0</v>
      </c>
      <c r="I3" s="38">
        <v>0</v>
      </c>
      <c r="J3" s="38">
        <v>0</v>
      </c>
      <c r="K3" s="38">
        <v>129.9</v>
      </c>
      <c r="L3" s="36" t="s">
        <v>79</v>
      </c>
      <c r="M3" s="37">
        <v>46152</v>
      </c>
      <c r="N3" s="37">
        <v>46150</v>
      </c>
      <c r="O3" s="36" t="s">
        <v>186</v>
      </c>
      <c r="P3" s="36"/>
    </row>
    <row r="4" spans="1:16">
      <c r="A4" s="36">
        <v>3</v>
      </c>
      <c r="B4" s="36">
        <v>1</v>
      </c>
      <c r="C4" s="36">
        <v>1</v>
      </c>
      <c r="D4" s="36" t="s">
        <v>107</v>
      </c>
      <c r="E4" s="36" t="s">
        <v>108</v>
      </c>
      <c r="F4" s="36" t="s">
        <v>208</v>
      </c>
      <c r="G4" s="38">
        <v>129.9</v>
      </c>
      <c r="H4" s="38">
        <v>0</v>
      </c>
      <c r="I4" s="38">
        <v>0</v>
      </c>
      <c r="J4" s="38">
        <v>0</v>
      </c>
      <c r="K4" s="38">
        <v>129.9</v>
      </c>
      <c r="L4" s="36" t="s">
        <v>79</v>
      </c>
      <c r="M4" s="37">
        <v>46183</v>
      </c>
      <c r="N4" s="37">
        <v>46183</v>
      </c>
      <c r="O4" s="36" t="s">
        <v>186</v>
      </c>
      <c r="P4" s="36"/>
    </row>
    <row r="5" spans="1:16">
      <c r="A5" s="36">
        <v>4</v>
      </c>
      <c r="B5" s="36">
        <v>1</v>
      </c>
      <c r="C5" s="36">
        <v>1</v>
      </c>
      <c r="D5" s="36" t="s">
        <v>107</v>
      </c>
      <c r="E5" s="36" t="s">
        <v>108</v>
      </c>
      <c r="F5" s="36" t="s">
        <v>203</v>
      </c>
      <c r="G5" s="38">
        <v>129.9</v>
      </c>
      <c r="H5" s="38">
        <v>0</v>
      </c>
      <c r="I5" s="38">
        <v>2.6</v>
      </c>
      <c r="J5" s="38">
        <v>0.52</v>
      </c>
      <c r="K5" s="38">
        <v>133.02000000000001</v>
      </c>
      <c r="L5" s="36"/>
      <c r="M5" s="37">
        <v>46213</v>
      </c>
      <c r="N5" s="36"/>
      <c r="O5" s="36" t="s">
        <v>187</v>
      </c>
      <c r="P5" s="36"/>
    </row>
    <row r="6" spans="1:16">
      <c r="A6" s="36">
        <v>5</v>
      </c>
      <c r="B6" s="36">
        <v>1</v>
      </c>
      <c r="C6" s="36">
        <v>1</v>
      </c>
      <c r="D6" s="36" t="s">
        <v>121</v>
      </c>
      <c r="E6" s="36" t="s">
        <v>122</v>
      </c>
      <c r="F6" s="36" t="s">
        <v>932</v>
      </c>
      <c r="G6" s="38">
        <v>109.9</v>
      </c>
      <c r="H6" s="38">
        <v>0</v>
      </c>
      <c r="I6" s="38">
        <v>0</v>
      </c>
      <c r="J6" s="38">
        <v>0</v>
      </c>
      <c r="K6" s="38">
        <v>109.9</v>
      </c>
      <c r="L6" s="36" t="s">
        <v>79</v>
      </c>
      <c r="M6" s="37">
        <v>46122</v>
      </c>
      <c r="N6" s="37">
        <v>46120</v>
      </c>
      <c r="O6" s="36" t="s">
        <v>186</v>
      </c>
      <c r="P6" s="36"/>
    </row>
    <row r="7" spans="1:16">
      <c r="A7" s="36">
        <v>6</v>
      </c>
      <c r="B7" s="36">
        <v>1</v>
      </c>
      <c r="C7" s="36">
        <v>1</v>
      </c>
      <c r="D7" s="36" t="s">
        <v>121</v>
      </c>
      <c r="E7" s="36" t="s">
        <v>122</v>
      </c>
      <c r="F7" s="36" t="s">
        <v>933</v>
      </c>
      <c r="G7" s="38">
        <v>109.9</v>
      </c>
      <c r="H7" s="38">
        <v>0</v>
      </c>
      <c r="I7" s="38">
        <v>0</v>
      </c>
      <c r="J7" s="38">
        <v>0</v>
      </c>
      <c r="K7" s="38">
        <v>109.9</v>
      </c>
      <c r="L7" s="36" t="s">
        <v>79</v>
      </c>
      <c r="M7" s="37">
        <v>46152</v>
      </c>
      <c r="N7" s="37">
        <v>46150</v>
      </c>
      <c r="O7" s="36" t="s">
        <v>186</v>
      </c>
      <c r="P7" s="36"/>
    </row>
    <row r="8" spans="1:16">
      <c r="A8" s="36">
        <v>7</v>
      </c>
      <c r="B8" s="36">
        <v>1</v>
      </c>
      <c r="C8" s="36">
        <v>1</v>
      </c>
      <c r="D8" s="36" t="s">
        <v>121</v>
      </c>
      <c r="E8" s="36" t="s">
        <v>122</v>
      </c>
      <c r="F8" s="36" t="s">
        <v>208</v>
      </c>
      <c r="G8" s="38">
        <v>109.9</v>
      </c>
      <c r="H8" s="38">
        <v>0</v>
      </c>
      <c r="I8" s="38">
        <v>0</v>
      </c>
      <c r="J8" s="38">
        <v>0</v>
      </c>
      <c r="K8" s="38">
        <v>109.9</v>
      </c>
      <c r="L8" s="36" t="s">
        <v>79</v>
      </c>
      <c r="M8" s="37">
        <v>46183</v>
      </c>
      <c r="N8" s="37">
        <v>46183</v>
      </c>
      <c r="O8" s="36" t="s">
        <v>186</v>
      </c>
      <c r="P8" s="36"/>
    </row>
    <row r="9" spans="1:16">
      <c r="A9" s="36">
        <v>8</v>
      </c>
      <c r="B9" s="36">
        <v>1</v>
      </c>
      <c r="C9" s="36">
        <v>1</v>
      </c>
      <c r="D9" s="36" t="s">
        <v>121</v>
      </c>
      <c r="E9" s="36" t="s">
        <v>122</v>
      </c>
      <c r="F9" s="36" t="s">
        <v>203</v>
      </c>
      <c r="G9" s="38">
        <v>109.9</v>
      </c>
      <c r="H9" s="38">
        <v>0</v>
      </c>
      <c r="I9" s="38">
        <v>2.2000000000000002</v>
      </c>
      <c r="J9" s="38">
        <v>0.44</v>
      </c>
      <c r="K9" s="38">
        <v>112.54</v>
      </c>
      <c r="L9" s="36"/>
      <c r="M9" s="37">
        <v>46213</v>
      </c>
      <c r="N9" s="36"/>
      <c r="O9" s="36" t="s">
        <v>187</v>
      </c>
      <c r="P9" s="36"/>
    </row>
    <row r="10" spans="1:16">
      <c r="A10" s="36">
        <v>9</v>
      </c>
      <c r="B10" s="36">
        <v>1</v>
      </c>
      <c r="C10" s="36">
        <v>1</v>
      </c>
      <c r="D10" s="36" t="s">
        <v>130</v>
      </c>
      <c r="E10" s="36" t="s">
        <v>131</v>
      </c>
      <c r="F10" s="36" t="s">
        <v>932</v>
      </c>
      <c r="G10" s="38">
        <v>99.9</v>
      </c>
      <c r="H10" s="38">
        <v>0</v>
      </c>
      <c r="I10" s="38">
        <v>0</v>
      </c>
      <c r="J10" s="38">
        <v>0</v>
      </c>
      <c r="K10" s="38">
        <v>99.9</v>
      </c>
      <c r="L10" s="36" t="s">
        <v>79</v>
      </c>
      <c r="M10" s="37">
        <v>46122</v>
      </c>
      <c r="N10" s="37">
        <v>46120</v>
      </c>
      <c r="O10" s="36" t="s">
        <v>186</v>
      </c>
      <c r="P10" s="36"/>
    </row>
    <row r="11" spans="1:16">
      <c r="A11" s="36">
        <v>10</v>
      </c>
      <c r="B11" s="36">
        <v>1</v>
      </c>
      <c r="C11" s="36">
        <v>1</v>
      </c>
      <c r="D11" s="36" t="s">
        <v>130</v>
      </c>
      <c r="E11" s="36" t="s">
        <v>131</v>
      </c>
      <c r="F11" s="36" t="s">
        <v>933</v>
      </c>
      <c r="G11" s="38">
        <v>99.9</v>
      </c>
      <c r="H11" s="38">
        <v>0</v>
      </c>
      <c r="I11" s="38">
        <v>0</v>
      </c>
      <c r="J11" s="38">
        <v>0</v>
      </c>
      <c r="K11" s="38">
        <v>99.9</v>
      </c>
      <c r="L11" s="36" t="s">
        <v>79</v>
      </c>
      <c r="M11" s="37">
        <v>46152</v>
      </c>
      <c r="N11" s="37">
        <v>46150</v>
      </c>
      <c r="O11" s="36" t="s">
        <v>186</v>
      </c>
      <c r="P11" s="36"/>
    </row>
    <row r="12" spans="1:16">
      <c r="A12" s="36">
        <v>11</v>
      </c>
      <c r="B12" s="36">
        <v>1</v>
      </c>
      <c r="C12" s="36">
        <v>1</v>
      </c>
      <c r="D12" s="36" t="s">
        <v>130</v>
      </c>
      <c r="E12" s="36" t="s">
        <v>131</v>
      </c>
      <c r="F12" s="36" t="s">
        <v>208</v>
      </c>
      <c r="G12" s="38">
        <v>99.9</v>
      </c>
      <c r="H12" s="38">
        <v>0</v>
      </c>
      <c r="I12" s="38">
        <v>0</v>
      </c>
      <c r="J12" s="38">
        <v>0</v>
      </c>
      <c r="K12" s="38">
        <v>99.9</v>
      </c>
      <c r="L12" s="36" t="s">
        <v>79</v>
      </c>
      <c r="M12" s="37">
        <v>46183</v>
      </c>
      <c r="N12" s="37">
        <v>46183</v>
      </c>
      <c r="O12" s="36" t="s">
        <v>186</v>
      </c>
      <c r="P12" s="36"/>
    </row>
    <row r="13" spans="1:16">
      <c r="A13" s="36">
        <v>12</v>
      </c>
      <c r="B13" s="36">
        <v>1</v>
      </c>
      <c r="C13" s="36">
        <v>1</v>
      </c>
      <c r="D13" s="36" t="s">
        <v>130</v>
      </c>
      <c r="E13" s="36" t="s">
        <v>131</v>
      </c>
      <c r="F13" s="36" t="s">
        <v>203</v>
      </c>
      <c r="G13" s="38">
        <v>99.9</v>
      </c>
      <c r="H13" s="38">
        <v>0</v>
      </c>
      <c r="I13" s="38">
        <v>2</v>
      </c>
      <c r="J13" s="38">
        <v>0.4</v>
      </c>
      <c r="K13" s="38">
        <v>102.3</v>
      </c>
      <c r="L13" s="36"/>
      <c r="M13" s="37">
        <v>46213</v>
      </c>
      <c r="N13" s="36"/>
      <c r="O13" s="36" t="s">
        <v>187</v>
      </c>
      <c r="P13" s="36"/>
    </row>
    <row r="14" spans="1:16">
      <c r="A14" s="36">
        <v>13</v>
      </c>
      <c r="B14" s="36">
        <v>1</v>
      </c>
      <c r="C14" s="36">
        <v>1</v>
      </c>
      <c r="D14" s="36" t="s">
        <v>138</v>
      </c>
      <c r="E14" s="36" t="s">
        <v>139</v>
      </c>
      <c r="F14" s="36" t="s">
        <v>932</v>
      </c>
      <c r="G14" s="38">
        <v>89.9</v>
      </c>
      <c r="H14" s="38">
        <v>0</v>
      </c>
      <c r="I14" s="38">
        <v>0</v>
      </c>
      <c r="J14" s="38">
        <v>0</v>
      </c>
      <c r="K14" s="38">
        <v>89.9</v>
      </c>
      <c r="L14" s="36" t="s">
        <v>79</v>
      </c>
      <c r="M14" s="37">
        <v>46122</v>
      </c>
      <c r="N14" s="37">
        <v>46120</v>
      </c>
      <c r="O14" s="36" t="s">
        <v>186</v>
      </c>
      <c r="P14" s="36"/>
    </row>
    <row r="15" spans="1:16">
      <c r="A15" s="36">
        <v>14</v>
      </c>
      <c r="B15" s="36">
        <v>1</v>
      </c>
      <c r="C15" s="36">
        <v>1</v>
      </c>
      <c r="D15" s="36" t="s">
        <v>138</v>
      </c>
      <c r="E15" s="36" t="s">
        <v>139</v>
      </c>
      <c r="F15" s="36" t="s">
        <v>933</v>
      </c>
      <c r="G15" s="38">
        <v>89.9</v>
      </c>
      <c r="H15" s="38">
        <v>0</v>
      </c>
      <c r="I15" s="38">
        <v>0</v>
      </c>
      <c r="J15" s="38">
        <v>0</v>
      </c>
      <c r="K15" s="38">
        <v>89.9</v>
      </c>
      <c r="L15" s="36" t="s">
        <v>79</v>
      </c>
      <c r="M15" s="37">
        <v>46152</v>
      </c>
      <c r="N15" s="37">
        <v>46150</v>
      </c>
      <c r="O15" s="36" t="s">
        <v>186</v>
      </c>
      <c r="P15" s="36"/>
    </row>
    <row r="16" spans="1:16">
      <c r="A16" s="36">
        <v>15</v>
      </c>
      <c r="B16" s="36">
        <v>1</v>
      </c>
      <c r="C16" s="36">
        <v>1</v>
      </c>
      <c r="D16" s="36" t="s">
        <v>138</v>
      </c>
      <c r="E16" s="36" t="s">
        <v>139</v>
      </c>
      <c r="F16" s="36" t="s">
        <v>208</v>
      </c>
      <c r="G16" s="38">
        <v>89.9</v>
      </c>
      <c r="H16" s="38">
        <v>0</v>
      </c>
      <c r="I16" s="38">
        <v>0</v>
      </c>
      <c r="J16" s="38">
        <v>0</v>
      </c>
      <c r="K16" s="38">
        <v>89.9</v>
      </c>
      <c r="L16" s="36" t="s">
        <v>79</v>
      </c>
      <c r="M16" s="37">
        <v>46183</v>
      </c>
      <c r="N16" s="37">
        <v>46183</v>
      </c>
      <c r="O16" s="36" t="s">
        <v>186</v>
      </c>
      <c r="P16" s="36"/>
    </row>
    <row r="17" spans="1:16">
      <c r="A17" s="36">
        <v>16</v>
      </c>
      <c r="B17" s="36">
        <v>1</v>
      </c>
      <c r="C17" s="36">
        <v>1</v>
      </c>
      <c r="D17" s="36" t="s">
        <v>138</v>
      </c>
      <c r="E17" s="36" t="s">
        <v>139</v>
      </c>
      <c r="F17" s="36" t="s">
        <v>203</v>
      </c>
      <c r="G17" s="38">
        <v>89.9</v>
      </c>
      <c r="H17" s="38">
        <v>0</v>
      </c>
      <c r="I17" s="38">
        <v>1.8</v>
      </c>
      <c r="J17" s="38">
        <v>0.36</v>
      </c>
      <c r="K17" s="38">
        <v>92.06</v>
      </c>
      <c r="L17" s="36"/>
      <c r="M17" s="37">
        <v>46213</v>
      </c>
      <c r="N17" s="36"/>
      <c r="O17" s="36" t="s">
        <v>187</v>
      </c>
      <c r="P17" s="36"/>
    </row>
    <row r="18" spans="1:16">
      <c r="A18" s="36">
        <v>17</v>
      </c>
      <c r="B18" s="36">
        <v>1</v>
      </c>
      <c r="C18" s="36">
        <v>1</v>
      </c>
      <c r="D18" s="36" t="s">
        <v>146</v>
      </c>
      <c r="E18" s="36" t="s">
        <v>147</v>
      </c>
      <c r="F18" s="36" t="s">
        <v>932</v>
      </c>
      <c r="G18" s="38">
        <v>129.9</v>
      </c>
      <c r="H18" s="38">
        <v>0</v>
      </c>
      <c r="I18" s="38">
        <v>0</v>
      </c>
      <c r="J18" s="38">
        <v>0</v>
      </c>
      <c r="K18" s="38">
        <v>129.9</v>
      </c>
      <c r="L18" s="36" t="s">
        <v>79</v>
      </c>
      <c r="M18" s="37">
        <v>46122</v>
      </c>
      <c r="N18" s="37">
        <v>46120</v>
      </c>
      <c r="O18" s="36" t="s">
        <v>186</v>
      </c>
      <c r="P18" s="36"/>
    </row>
    <row r="19" spans="1:16">
      <c r="A19" s="36">
        <v>18</v>
      </c>
      <c r="B19" s="36">
        <v>1</v>
      </c>
      <c r="C19" s="36">
        <v>1</v>
      </c>
      <c r="D19" s="36" t="s">
        <v>146</v>
      </c>
      <c r="E19" s="36" t="s">
        <v>147</v>
      </c>
      <c r="F19" s="36" t="s">
        <v>933</v>
      </c>
      <c r="G19" s="38">
        <v>129.9</v>
      </c>
      <c r="H19" s="38">
        <v>0</v>
      </c>
      <c r="I19" s="38">
        <v>0</v>
      </c>
      <c r="J19" s="38">
        <v>0</v>
      </c>
      <c r="K19" s="38">
        <v>129.9</v>
      </c>
      <c r="L19" s="36" t="s">
        <v>79</v>
      </c>
      <c r="M19" s="37">
        <v>46152</v>
      </c>
      <c r="N19" s="37">
        <v>46150</v>
      </c>
      <c r="O19" s="36" t="s">
        <v>186</v>
      </c>
      <c r="P19" s="36"/>
    </row>
    <row r="20" spans="1:16">
      <c r="A20" s="36">
        <v>19</v>
      </c>
      <c r="B20" s="36">
        <v>1</v>
      </c>
      <c r="C20" s="36">
        <v>1</v>
      </c>
      <c r="D20" s="36" t="s">
        <v>146</v>
      </c>
      <c r="E20" s="36" t="s">
        <v>147</v>
      </c>
      <c r="F20" s="36" t="s">
        <v>208</v>
      </c>
      <c r="G20" s="38">
        <v>129.9</v>
      </c>
      <c r="H20" s="38">
        <v>0</v>
      </c>
      <c r="I20" s="38">
        <v>0</v>
      </c>
      <c r="J20" s="38">
        <v>0</v>
      </c>
      <c r="K20" s="38">
        <v>129.9</v>
      </c>
      <c r="L20" s="36" t="s">
        <v>79</v>
      </c>
      <c r="M20" s="37">
        <v>46183</v>
      </c>
      <c r="N20" s="37">
        <v>46183</v>
      </c>
      <c r="O20" s="36" t="s">
        <v>186</v>
      </c>
      <c r="P20" s="36"/>
    </row>
    <row r="21" spans="1:16">
      <c r="A21" s="36">
        <v>20</v>
      </c>
      <c r="B21" s="36">
        <v>1</v>
      </c>
      <c r="C21" s="36">
        <v>1</v>
      </c>
      <c r="D21" s="36" t="s">
        <v>146</v>
      </c>
      <c r="E21" s="36" t="s">
        <v>147</v>
      </c>
      <c r="F21" s="36" t="s">
        <v>203</v>
      </c>
      <c r="G21" s="38">
        <v>129.9</v>
      </c>
      <c r="H21" s="38">
        <v>0</v>
      </c>
      <c r="I21" s="38">
        <v>2.6</v>
      </c>
      <c r="J21" s="38">
        <v>0.52</v>
      </c>
      <c r="K21" s="38">
        <v>133.02000000000001</v>
      </c>
      <c r="L21" s="36"/>
      <c r="M21" s="37">
        <v>46213</v>
      </c>
      <c r="N21" s="36"/>
      <c r="O21" s="36" t="s">
        <v>187</v>
      </c>
      <c r="P21" s="36"/>
    </row>
    <row r="22" spans="1:16">
      <c r="A22" s="36">
        <v>21</v>
      </c>
      <c r="B22" s="36">
        <v>1</v>
      </c>
      <c r="C22" s="36">
        <v>1</v>
      </c>
      <c r="D22" s="36" t="s">
        <v>153</v>
      </c>
      <c r="E22" s="36" t="s">
        <v>154</v>
      </c>
      <c r="F22" s="36" t="s">
        <v>932</v>
      </c>
      <c r="G22" s="38">
        <v>350</v>
      </c>
      <c r="H22" s="38">
        <v>0</v>
      </c>
      <c r="I22" s="38">
        <v>0</v>
      </c>
      <c r="J22" s="38">
        <v>0</v>
      </c>
      <c r="K22" s="38">
        <v>350</v>
      </c>
      <c r="L22" s="36" t="s">
        <v>79</v>
      </c>
      <c r="M22" s="37">
        <v>46122</v>
      </c>
      <c r="N22" s="37">
        <v>46120</v>
      </c>
      <c r="O22" s="36" t="s">
        <v>186</v>
      </c>
      <c r="P22" s="36"/>
    </row>
    <row r="23" spans="1:16">
      <c r="A23" s="36">
        <v>22</v>
      </c>
      <c r="B23" s="36">
        <v>1</v>
      </c>
      <c r="C23" s="36">
        <v>1</v>
      </c>
      <c r="D23" s="36" t="s">
        <v>153</v>
      </c>
      <c r="E23" s="36" t="s">
        <v>154</v>
      </c>
      <c r="F23" s="36" t="s">
        <v>933</v>
      </c>
      <c r="G23" s="38">
        <v>350</v>
      </c>
      <c r="H23" s="38">
        <v>0</v>
      </c>
      <c r="I23" s="38">
        <v>0</v>
      </c>
      <c r="J23" s="38">
        <v>0</v>
      </c>
      <c r="K23" s="38">
        <v>350</v>
      </c>
      <c r="L23" s="36" t="s">
        <v>79</v>
      </c>
      <c r="M23" s="37">
        <v>46152</v>
      </c>
      <c r="N23" s="37">
        <v>46150</v>
      </c>
      <c r="O23" s="36" t="s">
        <v>186</v>
      </c>
      <c r="P23" s="36"/>
    </row>
    <row r="24" spans="1:16">
      <c r="A24" s="36">
        <v>23</v>
      </c>
      <c r="B24" s="36">
        <v>1</v>
      </c>
      <c r="C24" s="36">
        <v>1</v>
      </c>
      <c r="D24" s="36" t="s">
        <v>153</v>
      </c>
      <c r="E24" s="36" t="s">
        <v>154</v>
      </c>
      <c r="F24" s="36" t="s">
        <v>208</v>
      </c>
      <c r="G24" s="38">
        <v>350</v>
      </c>
      <c r="H24" s="38">
        <v>0</v>
      </c>
      <c r="I24" s="38">
        <v>0</v>
      </c>
      <c r="J24" s="38">
        <v>0</v>
      </c>
      <c r="K24" s="38">
        <v>350</v>
      </c>
      <c r="L24" s="36" t="s">
        <v>79</v>
      </c>
      <c r="M24" s="37">
        <v>46183</v>
      </c>
      <c r="N24" s="37">
        <v>46183</v>
      </c>
      <c r="O24" s="36" t="s">
        <v>186</v>
      </c>
      <c r="P24" s="36"/>
    </row>
    <row r="25" spans="1:16">
      <c r="A25" s="36">
        <v>24</v>
      </c>
      <c r="B25" s="36">
        <v>1</v>
      </c>
      <c r="C25" s="36">
        <v>1</v>
      </c>
      <c r="D25" s="36" t="s">
        <v>153</v>
      </c>
      <c r="E25" s="36" t="s">
        <v>154</v>
      </c>
      <c r="F25" s="36" t="s">
        <v>203</v>
      </c>
      <c r="G25" s="38">
        <v>350</v>
      </c>
      <c r="H25" s="38">
        <v>0</v>
      </c>
      <c r="I25" s="38">
        <v>7</v>
      </c>
      <c r="J25" s="38">
        <v>1.4</v>
      </c>
      <c r="K25" s="38">
        <v>358.4</v>
      </c>
      <c r="L25" s="36"/>
      <c r="M25" s="37">
        <v>46213</v>
      </c>
      <c r="N25" s="36"/>
      <c r="O25" s="36" t="s">
        <v>187</v>
      </c>
      <c r="P25" s="36"/>
    </row>
    <row r="26" spans="1:16">
      <c r="A26" s="36">
        <v>25</v>
      </c>
      <c r="B26" s="36">
        <v>1</v>
      </c>
      <c r="C26" s="36">
        <v>1</v>
      </c>
      <c r="D26" s="36" t="s">
        <v>160</v>
      </c>
      <c r="E26" s="36" t="s">
        <v>161</v>
      </c>
      <c r="F26" s="36" t="s">
        <v>932</v>
      </c>
      <c r="G26" s="38">
        <v>129.9</v>
      </c>
      <c r="H26" s="38">
        <v>0</v>
      </c>
      <c r="I26" s="38">
        <v>0</v>
      </c>
      <c r="J26" s="38">
        <v>0</v>
      </c>
      <c r="K26" s="38">
        <v>129.9</v>
      </c>
      <c r="L26" s="36" t="s">
        <v>79</v>
      </c>
      <c r="M26" s="37">
        <v>46122</v>
      </c>
      <c r="N26" s="37">
        <v>46120</v>
      </c>
      <c r="O26" s="36" t="s">
        <v>186</v>
      </c>
      <c r="P26" s="36"/>
    </row>
    <row r="27" spans="1:16">
      <c r="A27" s="36">
        <v>26</v>
      </c>
      <c r="B27" s="36">
        <v>1</v>
      </c>
      <c r="C27" s="36">
        <v>1</v>
      </c>
      <c r="D27" s="36" t="s">
        <v>160</v>
      </c>
      <c r="E27" s="36" t="s">
        <v>161</v>
      </c>
      <c r="F27" s="36" t="s">
        <v>933</v>
      </c>
      <c r="G27" s="38">
        <v>129.9</v>
      </c>
      <c r="H27" s="38">
        <v>0</v>
      </c>
      <c r="I27" s="38">
        <v>0</v>
      </c>
      <c r="J27" s="38">
        <v>0</v>
      </c>
      <c r="K27" s="38">
        <v>129.9</v>
      </c>
      <c r="L27" s="36" t="s">
        <v>79</v>
      </c>
      <c r="M27" s="37">
        <v>46152</v>
      </c>
      <c r="N27" s="37">
        <v>46150</v>
      </c>
      <c r="O27" s="36" t="s">
        <v>186</v>
      </c>
      <c r="P27" s="36"/>
    </row>
    <row r="28" spans="1:16">
      <c r="A28" s="36">
        <v>27</v>
      </c>
      <c r="B28" s="36">
        <v>1</v>
      </c>
      <c r="C28" s="36">
        <v>1</v>
      </c>
      <c r="D28" s="36" t="s">
        <v>160</v>
      </c>
      <c r="E28" s="36" t="s">
        <v>161</v>
      </c>
      <c r="F28" s="36" t="s">
        <v>208</v>
      </c>
      <c r="G28" s="38">
        <v>129.9</v>
      </c>
      <c r="H28" s="38">
        <v>0</v>
      </c>
      <c r="I28" s="38">
        <v>2.6</v>
      </c>
      <c r="J28" s="38">
        <v>1.82</v>
      </c>
      <c r="K28" s="38">
        <v>134.32</v>
      </c>
      <c r="L28" s="36"/>
      <c r="M28" s="37">
        <v>46183</v>
      </c>
      <c r="N28" s="36"/>
      <c r="O28" s="36" t="s">
        <v>187</v>
      </c>
      <c r="P28" s="36"/>
    </row>
    <row r="29" spans="1:16">
      <c r="A29" s="36">
        <v>28</v>
      </c>
      <c r="B29" s="36">
        <v>1</v>
      </c>
      <c r="C29" s="36">
        <v>1</v>
      </c>
      <c r="D29" s="36" t="s">
        <v>160</v>
      </c>
      <c r="E29" s="36" t="s">
        <v>161</v>
      </c>
      <c r="F29" s="36" t="s">
        <v>203</v>
      </c>
      <c r="G29" s="38">
        <v>129.9</v>
      </c>
      <c r="H29" s="38">
        <v>0</v>
      </c>
      <c r="I29" s="38">
        <v>2.6</v>
      </c>
      <c r="J29" s="38">
        <v>0.52</v>
      </c>
      <c r="K29" s="38">
        <v>133.02000000000001</v>
      </c>
      <c r="L29" s="36"/>
      <c r="M29" s="37">
        <v>46213</v>
      </c>
      <c r="N29" s="36"/>
      <c r="O29" s="36" t="s">
        <v>187</v>
      </c>
      <c r="P29" s="36"/>
    </row>
    <row r="30" spans="1:16">
      <c r="A30" s="36">
        <v>29</v>
      </c>
      <c r="B30" s="36">
        <v>1</v>
      </c>
      <c r="C30" s="36">
        <v>1</v>
      </c>
      <c r="D30" s="36" t="s">
        <v>167</v>
      </c>
      <c r="E30" s="36" t="s">
        <v>168</v>
      </c>
      <c r="F30" s="36" t="s">
        <v>932</v>
      </c>
      <c r="G30" s="38">
        <v>109.9</v>
      </c>
      <c r="H30" s="38">
        <v>0</v>
      </c>
      <c r="I30" s="38">
        <v>0</v>
      </c>
      <c r="J30" s="38">
        <v>0</v>
      </c>
      <c r="K30" s="38">
        <v>109.9</v>
      </c>
      <c r="L30" s="36" t="s">
        <v>79</v>
      </c>
      <c r="M30" s="37">
        <v>46122</v>
      </c>
      <c r="N30" s="37">
        <v>46120</v>
      </c>
      <c r="O30" s="36" t="s">
        <v>186</v>
      </c>
      <c r="P30" s="36"/>
    </row>
    <row r="31" spans="1:16">
      <c r="A31" s="36">
        <v>30</v>
      </c>
      <c r="B31" s="36">
        <v>1</v>
      </c>
      <c r="C31" s="36">
        <v>1</v>
      </c>
      <c r="D31" s="36" t="s">
        <v>167</v>
      </c>
      <c r="E31" s="36" t="s">
        <v>168</v>
      </c>
      <c r="F31" s="36" t="s">
        <v>933</v>
      </c>
      <c r="G31" s="38">
        <v>109.9</v>
      </c>
      <c r="H31" s="38">
        <v>0</v>
      </c>
      <c r="I31" s="38">
        <v>0</v>
      </c>
      <c r="J31" s="38">
        <v>0</v>
      </c>
      <c r="K31" s="38">
        <v>109.9</v>
      </c>
      <c r="L31" s="36" t="s">
        <v>79</v>
      </c>
      <c r="M31" s="37">
        <v>46152</v>
      </c>
      <c r="N31" s="37">
        <v>46150</v>
      </c>
      <c r="O31" s="36" t="s">
        <v>186</v>
      </c>
      <c r="P31" s="36"/>
    </row>
    <row r="32" spans="1:16">
      <c r="A32" s="36">
        <v>31</v>
      </c>
      <c r="B32" s="36">
        <v>1</v>
      </c>
      <c r="C32" s="36">
        <v>1</v>
      </c>
      <c r="D32" s="36" t="s">
        <v>167</v>
      </c>
      <c r="E32" s="36" t="s">
        <v>168</v>
      </c>
      <c r="F32" s="36" t="s">
        <v>208</v>
      </c>
      <c r="G32" s="38">
        <v>109.9</v>
      </c>
      <c r="H32" s="38">
        <v>0</v>
      </c>
      <c r="I32" s="38">
        <v>0</v>
      </c>
      <c r="J32" s="38">
        <v>0</v>
      </c>
      <c r="K32" s="38">
        <v>109.9</v>
      </c>
      <c r="L32" s="36" t="s">
        <v>79</v>
      </c>
      <c r="M32" s="37">
        <v>46183</v>
      </c>
      <c r="N32" s="37">
        <v>46183</v>
      </c>
      <c r="O32" s="36" t="s">
        <v>186</v>
      </c>
      <c r="P32" s="36"/>
    </row>
    <row r="33" spans="1:16">
      <c r="A33" s="36">
        <v>32</v>
      </c>
      <c r="B33" s="36">
        <v>1</v>
      </c>
      <c r="C33" s="36">
        <v>1</v>
      </c>
      <c r="D33" s="36" t="s">
        <v>167</v>
      </c>
      <c r="E33" s="36" t="s">
        <v>168</v>
      </c>
      <c r="F33" s="36" t="s">
        <v>203</v>
      </c>
      <c r="G33" s="38">
        <v>109.9</v>
      </c>
      <c r="H33" s="38">
        <v>0</v>
      </c>
      <c r="I33" s="38">
        <v>2.2000000000000002</v>
      </c>
      <c r="J33" s="38">
        <v>0.44</v>
      </c>
      <c r="K33" s="38">
        <v>112.54</v>
      </c>
      <c r="L33" s="36"/>
      <c r="M33" s="37">
        <v>46213</v>
      </c>
      <c r="N33" s="36"/>
      <c r="O33" s="36" t="s">
        <v>187</v>
      </c>
      <c r="P33" s="36"/>
    </row>
  </sheetData>
  <pageMargins left="0.75" right="0.75" top="1" bottom="1" header="0.5" footer="0.5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Planilha48">
    <tabColor rgb="FFA3001E"/>
  </sheetPr>
  <dimension ref="A1:J6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3" width="10" customWidth="1"/>
    <col min="4" max="4" width="22" customWidth="1"/>
    <col min="5" max="5" width="14" customWidth="1"/>
    <col min="6" max="9" width="12" customWidth="1"/>
    <col min="10" max="10" width="24" customWidth="1"/>
  </cols>
  <sheetData>
    <row r="1" spans="1:10">
      <c r="A1" s="35" t="s">
        <v>70</v>
      </c>
      <c r="B1" s="35" t="s">
        <v>96</v>
      </c>
      <c r="C1" s="35" t="s">
        <v>97</v>
      </c>
      <c r="D1" s="35" t="s">
        <v>237</v>
      </c>
      <c r="E1" s="35" t="s">
        <v>239</v>
      </c>
      <c r="F1" s="35" t="s">
        <v>180</v>
      </c>
      <c r="G1" s="35" t="s">
        <v>181</v>
      </c>
      <c r="H1" s="35" t="s">
        <v>182</v>
      </c>
      <c r="I1" s="35" t="s">
        <v>199</v>
      </c>
      <c r="J1" s="35" t="s">
        <v>223</v>
      </c>
    </row>
    <row r="2" spans="1:10">
      <c r="A2" s="39">
        <v>1</v>
      </c>
      <c r="B2" s="39">
        <v>1</v>
      </c>
      <c r="C2" s="39">
        <v>1</v>
      </c>
      <c r="D2" s="39" t="s">
        <v>241</v>
      </c>
      <c r="E2" s="39" t="s">
        <v>243</v>
      </c>
      <c r="F2" s="48">
        <v>4500</v>
      </c>
      <c r="G2" s="49">
        <v>46239</v>
      </c>
      <c r="H2" s="39"/>
      <c r="I2" s="39" t="s">
        <v>244</v>
      </c>
      <c r="J2" s="39" t="s">
        <v>242</v>
      </c>
    </row>
    <row r="3" spans="1:10">
      <c r="A3" s="39">
        <v>2</v>
      </c>
      <c r="B3" s="39">
        <v>1</v>
      </c>
      <c r="C3" s="39">
        <v>1</v>
      </c>
      <c r="D3" s="39" t="s">
        <v>245</v>
      </c>
      <c r="E3" s="39" t="s">
        <v>247</v>
      </c>
      <c r="F3" s="48">
        <v>980</v>
      </c>
      <c r="G3" s="49">
        <v>46228</v>
      </c>
      <c r="H3" s="39"/>
      <c r="I3" s="39" t="s">
        <v>187</v>
      </c>
      <c r="J3" s="39" t="s">
        <v>246</v>
      </c>
    </row>
    <row r="4" spans="1:10">
      <c r="A4" s="39">
        <v>3</v>
      </c>
      <c r="B4" s="39">
        <v>1</v>
      </c>
      <c r="C4" s="39">
        <v>1</v>
      </c>
      <c r="D4" s="39" t="s">
        <v>248</v>
      </c>
      <c r="E4" s="39" t="s">
        <v>250</v>
      </c>
      <c r="F4" s="48">
        <v>450</v>
      </c>
      <c r="G4" s="49">
        <v>46233</v>
      </c>
      <c r="H4" s="39"/>
      <c r="I4" s="39" t="s">
        <v>244</v>
      </c>
      <c r="J4" s="39" t="s">
        <v>249</v>
      </c>
    </row>
    <row r="5" spans="1:10">
      <c r="A5" s="39">
        <v>4</v>
      </c>
      <c r="B5" s="39">
        <v>1</v>
      </c>
      <c r="C5" s="39">
        <v>1</v>
      </c>
      <c r="D5" s="39" t="s">
        <v>251</v>
      </c>
      <c r="E5" s="39" t="s">
        <v>253</v>
      </c>
      <c r="F5" s="48">
        <v>1200</v>
      </c>
      <c r="G5" s="49">
        <v>46244</v>
      </c>
      <c r="H5" s="39"/>
      <c r="I5" s="39" t="s">
        <v>244</v>
      </c>
      <c r="J5" s="39" t="s">
        <v>252</v>
      </c>
    </row>
    <row r="6" spans="1:10">
      <c r="A6" s="39">
        <v>5</v>
      </c>
      <c r="B6" s="39">
        <v>1</v>
      </c>
      <c r="C6" s="39">
        <v>1</v>
      </c>
      <c r="D6" s="39" t="s">
        <v>254</v>
      </c>
      <c r="E6" s="39" t="s">
        <v>256</v>
      </c>
      <c r="F6" s="48">
        <v>650</v>
      </c>
      <c r="G6" s="49">
        <v>46225</v>
      </c>
      <c r="H6" s="39"/>
      <c r="I6" s="39" t="s">
        <v>187</v>
      </c>
      <c r="J6" s="39" t="s">
        <v>255</v>
      </c>
    </row>
  </sheetData>
  <pageMargins left="0.75" right="0.75" top="1" bottom="1" header="0.5" footer="0.5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Planilha49">
    <tabColor rgb="FFD4AF37"/>
  </sheetPr>
  <dimension ref="A1:K18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3" width="10" customWidth="1"/>
    <col min="4" max="5" width="12" customWidth="1"/>
    <col min="6" max="6" width="14" customWidth="1"/>
    <col min="7" max="7" width="12" customWidth="1"/>
    <col min="8" max="8" width="14" customWidth="1"/>
    <col min="9" max="11" width="12" customWidth="1"/>
  </cols>
  <sheetData>
    <row r="1" spans="1:11">
      <c r="A1" s="35" t="s">
        <v>70</v>
      </c>
      <c r="B1" s="35" t="s">
        <v>96</v>
      </c>
      <c r="C1" s="35" t="s">
        <v>97</v>
      </c>
      <c r="D1" s="35" t="s">
        <v>217</v>
      </c>
      <c r="E1" s="35" t="s">
        <v>294</v>
      </c>
      <c r="F1" s="35" t="s">
        <v>463</v>
      </c>
      <c r="G1" s="35" t="s">
        <v>239</v>
      </c>
      <c r="H1" s="35" t="s">
        <v>934</v>
      </c>
      <c r="I1" s="35" t="s">
        <v>935</v>
      </c>
      <c r="J1" s="35" t="s">
        <v>936</v>
      </c>
      <c r="K1" s="35" t="s">
        <v>898</v>
      </c>
    </row>
    <row r="2" spans="1:11">
      <c r="A2" s="39">
        <v>1</v>
      </c>
      <c r="B2" s="39">
        <v>1</v>
      </c>
      <c r="C2" s="39">
        <v>1</v>
      </c>
      <c r="D2" s="49">
        <v>46120</v>
      </c>
      <c r="E2" s="39" t="s">
        <v>937</v>
      </c>
      <c r="F2" s="39" t="s">
        <v>443</v>
      </c>
      <c r="G2" s="39" t="s">
        <v>58</v>
      </c>
      <c r="H2" s="39" t="s">
        <v>938</v>
      </c>
      <c r="I2" s="48">
        <v>0</v>
      </c>
      <c r="J2" s="48">
        <v>129.9</v>
      </c>
      <c r="K2" s="39" t="s">
        <v>785</v>
      </c>
    </row>
    <row r="3" spans="1:11">
      <c r="A3" s="39">
        <v>2</v>
      </c>
      <c r="B3" s="39">
        <v>1</v>
      </c>
      <c r="C3" s="39">
        <v>1</v>
      </c>
      <c r="D3" s="49">
        <v>46150</v>
      </c>
      <c r="E3" s="39" t="s">
        <v>937</v>
      </c>
      <c r="F3" s="39" t="s">
        <v>443</v>
      </c>
      <c r="G3" s="39" t="s">
        <v>58</v>
      </c>
      <c r="H3" s="39" t="s">
        <v>939</v>
      </c>
      <c r="I3" s="48">
        <v>0</v>
      </c>
      <c r="J3" s="48">
        <v>129.9</v>
      </c>
      <c r="K3" s="39" t="s">
        <v>785</v>
      </c>
    </row>
    <row r="4" spans="1:11">
      <c r="A4" s="39">
        <v>3</v>
      </c>
      <c r="B4" s="39">
        <v>1</v>
      </c>
      <c r="C4" s="39">
        <v>1</v>
      </c>
      <c r="D4" s="49">
        <v>46183</v>
      </c>
      <c r="E4" s="39" t="s">
        <v>937</v>
      </c>
      <c r="F4" s="39" t="s">
        <v>443</v>
      </c>
      <c r="G4" s="39" t="s">
        <v>58</v>
      </c>
      <c r="H4" s="39" t="s">
        <v>940</v>
      </c>
      <c r="I4" s="48">
        <v>0</v>
      </c>
      <c r="J4" s="48">
        <v>129.9</v>
      </c>
      <c r="K4" s="39" t="s">
        <v>785</v>
      </c>
    </row>
    <row r="5" spans="1:11">
      <c r="A5" s="39">
        <v>4</v>
      </c>
      <c r="B5" s="39">
        <v>1</v>
      </c>
      <c r="C5" s="39">
        <v>1</v>
      </c>
      <c r="D5" s="49">
        <v>46120</v>
      </c>
      <c r="E5" s="39" t="s">
        <v>937</v>
      </c>
      <c r="F5" s="39" t="s">
        <v>443</v>
      </c>
      <c r="G5" s="39" t="s">
        <v>58</v>
      </c>
      <c r="H5" s="39" t="s">
        <v>941</v>
      </c>
      <c r="I5" s="48">
        <v>0</v>
      </c>
      <c r="J5" s="48">
        <v>109.9</v>
      </c>
      <c r="K5" s="39" t="s">
        <v>785</v>
      </c>
    </row>
    <row r="6" spans="1:11">
      <c r="A6" s="39">
        <v>5</v>
      </c>
      <c r="B6" s="39">
        <v>1</v>
      </c>
      <c r="C6" s="39">
        <v>1</v>
      </c>
      <c r="D6" s="49">
        <v>46150</v>
      </c>
      <c r="E6" s="39" t="s">
        <v>937</v>
      </c>
      <c r="F6" s="39" t="s">
        <v>443</v>
      </c>
      <c r="G6" s="39" t="s">
        <v>58</v>
      </c>
      <c r="H6" s="39" t="s">
        <v>942</v>
      </c>
      <c r="I6" s="48">
        <v>0</v>
      </c>
      <c r="J6" s="48">
        <v>109.9</v>
      </c>
      <c r="K6" s="39" t="s">
        <v>785</v>
      </c>
    </row>
    <row r="7" spans="1:11">
      <c r="A7" s="39">
        <v>6</v>
      </c>
      <c r="B7" s="39">
        <v>1</v>
      </c>
      <c r="C7" s="39">
        <v>1</v>
      </c>
      <c r="D7" s="49">
        <v>46183</v>
      </c>
      <c r="E7" s="39" t="s">
        <v>937</v>
      </c>
      <c r="F7" s="39" t="s">
        <v>443</v>
      </c>
      <c r="G7" s="39" t="s">
        <v>58</v>
      </c>
      <c r="H7" s="39" t="s">
        <v>943</v>
      </c>
      <c r="I7" s="48">
        <v>0</v>
      </c>
      <c r="J7" s="48">
        <v>109.9</v>
      </c>
      <c r="K7" s="39" t="s">
        <v>785</v>
      </c>
    </row>
    <row r="8" spans="1:11">
      <c r="A8" s="39">
        <v>7</v>
      </c>
      <c r="B8" s="39">
        <v>1</v>
      </c>
      <c r="C8" s="39">
        <v>1</v>
      </c>
      <c r="D8" s="49">
        <v>46120</v>
      </c>
      <c r="E8" s="39" t="s">
        <v>937</v>
      </c>
      <c r="F8" s="39" t="s">
        <v>443</v>
      </c>
      <c r="G8" s="39" t="s">
        <v>58</v>
      </c>
      <c r="H8" s="39" t="s">
        <v>944</v>
      </c>
      <c r="I8" s="48">
        <v>0</v>
      </c>
      <c r="J8" s="48">
        <v>99.9</v>
      </c>
      <c r="K8" s="39" t="s">
        <v>785</v>
      </c>
    </row>
    <row r="9" spans="1:11">
      <c r="A9" s="39">
        <v>8</v>
      </c>
      <c r="B9" s="39">
        <v>1</v>
      </c>
      <c r="C9" s="39">
        <v>1</v>
      </c>
      <c r="D9" s="49">
        <v>46150</v>
      </c>
      <c r="E9" s="39" t="s">
        <v>937</v>
      </c>
      <c r="F9" s="39" t="s">
        <v>443</v>
      </c>
      <c r="G9" s="39" t="s">
        <v>58</v>
      </c>
      <c r="H9" s="39" t="s">
        <v>945</v>
      </c>
      <c r="I9" s="48">
        <v>0</v>
      </c>
      <c r="J9" s="48">
        <v>99.9</v>
      </c>
      <c r="K9" s="39" t="s">
        <v>785</v>
      </c>
    </row>
    <row r="10" spans="1:11">
      <c r="A10" s="39">
        <v>9</v>
      </c>
      <c r="B10" s="39">
        <v>1</v>
      </c>
      <c r="C10" s="39">
        <v>1</v>
      </c>
      <c r="D10" s="49">
        <v>46183</v>
      </c>
      <c r="E10" s="39" t="s">
        <v>937</v>
      </c>
      <c r="F10" s="39" t="s">
        <v>443</v>
      </c>
      <c r="G10" s="39" t="s">
        <v>58</v>
      </c>
      <c r="H10" s="39" t="s">
        <v>946</v>
      </c>
      <c r="I10" s="48">
        <v>0</v>
      </c>
      <c r="J10" s="48">
        <v>99.9</v>
      </c>
      <c r="K10" s="39" t="s">
        <v>785</v>
      </c>
    </row>
    <row r="11" spans="1:11">
      <c r="A11" s="39">
        <v>10</v>
      </c>
      <c r="B11" s="39">
        <v>1</v>
      </c>
      <c r="C11" s="39">
        <v>1</v>
      </c>
      <c r="D11" s="49">
        <v>46120</v>
      </c>
      <c r="E11" s="39" t="s">
        <v>937</v>
      </c>
      <c r="F11" s="39" t="s">
        <v>443</v>
      </c>
      <c r="G11" s="39" t="s">
        <v>58</v>
      </c>
      <c r="H11" s="39" t="s">
        <v>947</v>
      </c>
      <c r="I11" s="48">
        <v>0</v>
      </c>
      <c r="J11" s="48">
        <v>89.9</v>
      </c>
      <c r="K11" s="39" t="s">
        <v>785</v>
      </c>
    </row>
    <row r="12" spans="1:11">
      <c r="A12" s="39">
        <v>11</v>
      </c>
      <c r="B12" s="39">
        <v>1</v>
      </c>
      <c r="C12" s="39">
        <v>1</v>
      </c>
      <c r="D12" s="49">
        <v>46150</v>
      </c>
      <c r="E12" s="39" t="s">
        <v>937</v>
      </c>
      <c r="F12" s="39" t="s">
        <v>443</v>
      </c>
      <c r="G12" s="39" t="s">
        <v>58</v>
      </c>
      <c r="H12" s="39" t="s">
        <v>948</v>
      </c>
      <c r="I12" s="48">
        <v>0</v>
      </c>
      <c r="J12" s="48">
        <v>89.9</v>
      </c>
      <c r="K12" s="39" t="s">
        <v>785</v>
      </c>
    </row>
    <row r="13" spans="1:11">
      <c r="A13" s="39">
        <v>12</v>
      </c>
      <c r="B13" s="39">
        <v>1</v>
      </c>
      <c r="C13" s="39">
        <v>1</v>
      </c>
      <c r="D13" s="49">
        <v>46183</v>
      </c>
      <c r="E13" s="39" t="s">
        <v>937</v>
      </c>
      <c r="F13" s="39" t="s">
        <v>443</v>
      </c>
      <c r="G13" s="39" t="s">
        <v>58</v>
      </c>
      <c r="H13" s="39" t="s">
        <v>949</v>
      </c>
      <c r="I13" s="48">
        <v>0</v>
      </c>
      <c r="J13" s="48">
        <v>89.9</v>
      </c>
      <c r="K13" s="39" t="s">
        <v>785</v>
      </c>
    </row>
    <row r="14" spans="1:11">
      <c r="A14" s="39">
        <v>13</v>
      </c>
      <c r="B14" s="39">
        <v>1</v>
      </c>
      <c r="C14" s="39">
        <v>1</v>
      </c>
      <c r="D14" s="49">
        <v>46208</v>
      </c>
      <c r="E14" s="39" t="s">
        <v>182</v>
      </c>
      <c r="F14" s="39" t="s">
        <v>59</v>
      </c>
      <c r="G14" s="39" t="s">
        <v>243</v>
      </c>
      <c r="H14" s="39" t="s">
        <v>950</v>
      </c>
      <c r="I14" s="48">
        <v>3500</v>
      </c>
      <c r="J14" s="48">
        <v>0</v>
      </c>
      <c r="K14" s="39" t="s">
        <v>905</v>
      </c>
    </row>
    <row r="15" spans="1:11">
      <c r="A15" s="39">
        <v>14</v>
      </c>
      <c r="B15" s="39">
        <v>1</v>
      </c>
      <c r="C15" s="39">
        <v>1</v>
      </c>
      <c r="D15" s="49">
        <v>46211</v>
      </c>
      <c r="E15" s="39" t="s">
        <v>182</v>
      </c>
      <c r="F15" s="39" t="s">
        <v>59</v>
      </c>
      <c r="G15" s="39" t="s">
        <v>247</v>
      </c>
      <c r="H15" s="39" t="s">
        <v>951</v>
      </c>
      <c r="I15" s="48">
        <v>890</v>
      </c>
      <c r="J15" s="48">
        <v>0</v>
      </c>
      <c r="K15" s="39" t="s">
        <v>905</v>
      </c>
    </row>
    <row r="16" spans="1:11">
      <c r="A16" s="39">
        <v>15</v>
      </c>
      <c r="B16" s="39">
        <v>1</v>
      </c>
      <c r="C16" s="39">
        <v>1</v>
      </c>
      <c r="D16" s="49">
        <v>46213</v>
      </c>
      <c r="E16" s="39" t="s">
        <v>182</v>
      </c>
      <c r="F16" s="39" t="s">
        <v>59</v>
      </c>
      <c r="G16" s="39" t="s">
        <v>872</v>
      </c>
      <c r="H16" s="39" t="s">
        <v>952</v>
      </c>
      <c r="I16" s="48">
        <v>6200</v>
      </c>
      <c r="J16" s="48">
        <v>0</v>
      </c>
      <c r="K16" s="39" t="s">
        <v>905</v>
      </c>
    </row>
    <row r="17" spans="1:11">
      <c r="A17" s="39">
        <v>16</v>
      </c>
      <c r="B17" s="39">
        <v>1</v>
      </c>
      <c r="C17" s="39">
        <v>1</v>
      </c>
      <c r="D17" s="49">
        <v>46215</v>
      </c>
      <c r="E17" s="39" t="s">
        <v>182</v>
      </c>
      <c r="F17" s="39" t="s">
        <v>59</v>
      </c>
      <c r="G17" s="39" t="s">
        <v>866</v>
      </c>
      <c r="H17" s="39" t="s">
        <v>953</v>
      </c>
      <c r="I17" s="48">
        <v>199</v>
      </c>
      <c r="J17" s="48">
        <v>0</v>
      </c>
      <c r="K17" s="39" t="s">
        <v>905</v>
      </c>
    </row>
    <row r="18" spans="1:11">
      <c r="A18" s="39">
        <v>17</v>
      </c>
      <c r="B18" s="39">
        <v>1</v>
      </c>
      <c r="C18" s="39">
        <v>1</v>
      </c>
      <c r="D18" s="49">
        <v>46218</v>
      </c>
      <c r="E18" s="39" t="s">
        <v>182</v>
      </c>
      <c r="F18" s="39" t="s">
        <v>59</v>
      </c>
      <c r="G18" s="39" t="s">
        <v>885</v>
      </c>
      <c r="H18" s="39" t="s">
        <v>954</v>
      </c>
      <c r="I18" s="48">
        <v>450</v>
      </c>
      <c r="J18" s="48">
        <v>0</v>
      </c>
      <c r="K18" s="39" t="s">
        <v>905</v>
      </c>
    </row>
  </sheetData>
  <pageMargins left="0.75" right="0.75" top="1" bottom="1" header="0.5" footer="0.5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Planilha50">
    <tabColor rgb="FFA3001E"/>
  </sheetPr>
  <dimension ref="A1:G27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12" customWidth="1"/>
    <col min="2" max="2" width="10" customWidth="1"/>
    <col min="3" max="3" width="14" customWidth="1"/>
    <col min="4" max="4" width="28" customWidth="1"/>
    <col min="5" max="7" width="12" customWidth="1"/>
  </cols>
  <sheetData>
    <row r="1" spans="1:7">
      <c r="A1" s="35" t="s">
        <v>217</v>
      </c>
      <c r="B1" s="35" t="s">
        <v>294</v>
      </c>
      <c r="C1" s="35" t="s">
        <v>239</v>
      </c>
      <c r="D1" s="35" t="s">
        <v>238</v>
      </c>
      <c r="E1" s="35" t="s">
        <v>346</v>
      </c>
      <c r="F1" s="35" t="s">
        <v>347</v>
      </c>
      <c r="G1" s="35" t="s">
        <v>194</v>
      </c>
    </row>
    <row r="2" spans="1:7">
      <c r="A2" s="49">
        <v>46120</v>
      </c>
      <c r="B2" s="39" t="s">
        <v>346</v>
      </c>
      <c r="C2" s="39" t="s">
        <v>850</v>
      </c>
      <c r="D2" s="39" t="s">
        <v>955</v>
      </c>
      <c r="E2" s="48">
        <v>129.9</v>
      </c>
      <c r="F2" s="48">
        <v>0</v>
      </c>
      <c r="G2" s="48">
        <v>25129.9</v>
      </c>
    </row>
    <row r="3" spans="1:7">
      <c r="A3" s="49">
        <v>46120</v>
      </c>
      <c r="B3" s="39" t="s">
        <v>346</v>
      </c>
      <c r="C3" s="39" t="s">
        <v>850</v>
      </c>
      <c r="D3" s="39" t="s">
        <v>956</v>
      </c>
      <c r="E3" s="48">
        <v>109.9</v>
      </c>
      <c r="F3" s="48">
        <v>0</v>
      </c>
      <c r="G3" s="48">
        <v>25239.8</v>
      </c>
    </row>
    <row r="4" spans="1:7">
      <c r="A4" s="49">
        <v>46120</v>
      </c>
      <c r="B4" s="39" t="s">
        <v>346</v>
      </c>
      <c r="C4" s="39" t="s">
        <v>850</v>
      </c>
      <c r="D4" s="39" t="s">
        <v>957</v>
      </c>
      <c r="E4" s="48">
        <v>99.9</v>
      </c>
      <c r="F4" s="48">
        <v>0</v>
      </c>
      <c r="G4" s="48">
        <v>25339.7</v>
      </c>
    </row>
    <row r="5" spans="1:7">
      <c r="A5" s="49">
        <v>46120</v>
      </c>
      <c r="B5" s="39" t="s">
        <v>346</v>
      </c>
      <c r="C5" s="39" t="s">
        <v>850</v>
      </c>
      <c r="D5" s="39" t="s">
        <v>958</v>
      </c>
      <c r="E5" s="48">
        <v>89.9</v>
      </c>
      <c r="F5" s="48">
        <v>0</v>
      </c>
      <c r="G5" s="48">
        <v>25429.600000000009</v>
      </c>
    </row>
    <row r="6" spans="1:7">
      <c r="A6" s="49">
        <v>46120</v>
      </c>
      <c r="B6" s="39" t="s">
        <v>346</v>
      </c>
      <c r="C6" s="39" t="s">
        <v>850</v>
      </c>
      <c r="D6" s="39" t="s">
        <v>959</v>
      </c>
      <c r="E6" s="48">
        <v>129.9</v>
      </c>
      <c r="F6" s="48">
        <v>0</v>
      </c>
      <c r="G6" s="48">
        <v>25559.500000000011</v>
      </c>
    </row>
    <row r="7" spans="1:7">
      <c r="A7" s="49">
        <v>46120</v>
      </c>
      <c r="B7" s="39" t="s">
        <v>346</v>
      </c>
      <c r="C7" s="39" t="s">
        <v>850</v>
      </c>
      <c r="D7" s="39" t="s">
        <v>960</v>
      </c>
      <c r="E7" s="48">
        <v>350</v>
      </c>
      <c r="F7" s="48">
        <v>0</v>
      </c>
      <c r="G7" s="48">
        <v>25909.500000000011</v>
      </c>
    </row>
    <row r="8" spans="1:7">
      <c r="A8" s="49">
        <v>46120</v>
      </c>
      <c r="B8" s="39" t="s">
        <v>346</v>
      </c>
      <c r="C8" s="39" t="s">
        <v>850</v>
      </c>
      <c r="D8" s="39" t="s">
        <v>961</v>
      </c>
      <c r="E8" s="48">
        <v>129.9</v>
      </c>
      <c r="F8" s="48">
        <v>0</v>
      </c>
      <c r="G8" s="48">
        <v>26039.400000000009</v>
      </c>
    </row>
    <row r="9" spans="1:7">
      <c r="A9" s="49">
        <v>46120</v>
      </c>
      <c r="B9" s="39" t="s">
        <v>346</v>
      </c>
      <c r="C9" s="39" t="s">
        <v>850</v>
      </c>
      <c r="D9" s="39" t="s">
        <v>962</v>
      </c>
      <c r="E9" s="48">
        <v>109.9</v>
      </c>
      <c r="F9" s="48">
        <v>0</v>
      </c>
      <c r="G9" s="48">
        <v>26149.30000000001</v>
      </c>
    </row>
    <row r="10" spans="1:7">
      <c r="A10" s="49">
        <v>46150</v>
      </c>
      <c r="B10" s="39" t="s">
        <v>346</v>
      </c>
      <c r="C10" s="39" t="s">
        <v>850</v>
      </c>
      <c r="D10" s="39" t="s">
        <v>955</v>
      </c>
      <c r="E10" s="48">
        <v>129.9</v>
      </c>
      <c r="F10" s="48">
        <v>0</v>
      </c>
      <c r="G10" s="48">
        <v>26279.200000000012</v>
      </c>
    </row>
    <row r="11" spans="1:7">
      <c r="A11" s="49">
        <v>46150</v>
      </c>
      <c r="B11" s="39" t="s">
        <v>346</v>
      </c>
      <c r="C11" s="39" t="s">
        <v>850</v>
      </c>
      <c r="D11" s="39" t="s">
        <v>956</v>
      </c>
      <c r="E11" s="48">
        <v>109.9</v>
      </c>
      <c r="F11" s="48">
        <v>0</v>
      </c>
      <c r="G11" s="48">
        <v>26389.100000000009</v>
      </c>
    </row>
    <row r="12" spans="1:7">
      <c r="A12" s="49">
        <v>46150</v>
      </c>
      <c r="B12" s="39" t="s">
        <v>346</v>
      </c>
      <c r="C12" s="39" t="s">
        <v>850</v>
      </c>
      <c r="D12" s="39" t="s">
        <v>957</v>
      </c>
      <c r="E12" s="48">
        <v>99.9</v>
      </c>
      <c r="F12" s="48">
        <v>0</v>
      </c>
      <c r="G12" s="48">
        <v>26489.000000000011</v>
      </c>
    </row>
    <row r="13" spans="1:7">
      <c r="A13" s="49">
        <v>46150</v>
      </c>
      <c r="B13" s="39" t="s">
        <v>346</v>
      </c>
      <c r="C13" s="39" t="s">
        <v>850</v>
      </c>
      <c r="D13" s="39" t="s">
        <v>958</v>
      </c>
      <c r="E13" s="48">
        <v>89.9</v>
      </c>
      <c r="F13" s="48">
        <v>0</v>
      </c>
      <c r="G13" s="48">
        <v>26578.90000000002</v>
      </c>
    </row>
    <row r="14" spans="1:7">
      <c r="A14" s="49">
        <v>46150</v>
      </c>
      <c r="B14" s="39" t="s">
        <v>346</v>
      </c>
      <c r="C14" s="39" t="s">
        <v>850</v>
      </c>
      <c r="D14" s="39" t="s">
        <v>959</v>
      </c>
      <c r="E14" s="48">
        <v>129.9</v>
      </c>
      <c r="F14" s="48">
        <v>0</v>
      </c>
      <c r="G14" s="48">
        <v>26708.800000000021</v>
      </c>
    </row>
    <row r="15" spans="1:7">
      <c r="A15" s="49">
        <v>46150</v>
      </c>
      <c r="B15" s="39" t="s">
        <v>346</v>
      </c>
      <c r="C15" s="39" t="s">
        <v>850</v>
      </c>
      <c r="D15" s="39" t="s">
        <v>960</v>
      </c>
      <c r="E15" s="48">
        <v>350</v>
      </c>
      <c r="F15" s="48">
        <v>0</v>
      </c>
      <c r="G15" s="48">
        <v>27058.800000000021</v>
      </c>
    </row>
    <row r="16" spans="1:7">
      <c r="A16" s="49">
        <v>46150</v>
      </c>
      <c r="B16" s="39" t="s">
        <v>346</v>
      </c>
      <c r="C16" s="39" t="s">
        <v>850</v>
      </c>
      <c r="D16" s="39" t="s">
        <v>961</v>
      </c>
      <c r="E16" s="48">
        <v>129.9</v>
      </c>
      <c r="F16" s="48">
        <v>0</v>
      </c>
      <c r="G16" s="48">
        <v>27188.700000000019</v>
      </c>
    </row>
    <row r="17" spans="1:7">
      <c r="A17" s="49">
        <v>46150</v>
      </c>
      <c r="B17" s="39" t="s">
        <v>346</v>
      </c>
      <c r="C17" s="39" t="s">
        <v>850</v>
      </c>
      <c r="D17" s="39" t="s">
        <v>962</v>
      </c>
      <c r="E17" s="48">
        <v>109.9</v>
      </c>
      <c r="F17" s="48">
        <v>0</v>
      </c>
      <c r="G17" s="48">
        <v>27298.60000000002</v>
      </c>
    </row>
    <row r="18" spans="1:7">
      <c r="A18" s="49">
        <v>46183</v>
      </c>
      <c r="B18" s="39" t="s">
        <v>346</v>
      </c>
      <c r="C18" s="39" t="s">
        <v>850</v>
      </c>
      <c r="D18" s="39" t="s">
        <v>955</v>
      </c>
      <c r="E18" s="48">
        <v>129.9</v>
      </c>
      <c r="F18" s="48">
        <v>0</v>
      </c>
      <c r="G18" s="48">
        <v>27428.500000000018</v>
      </c>
    </row>
    <row r="19" spans="1:7">
      <c r="A19" s="49">
        <v>46183</v>
      </c>
      <c r="B19" s="39" t="s">
        <v>346</v>
      </c>
      <c r="C19" s="39" t="s">
        <v>850</v>
      </c>
      <c r="D19" s="39" t="s">
        <v>956</v>
      </c>
      <c r="E19" s="48">
        <v>109.9</v>
      </c>
      <c r="F19" s="48">
        <v>0</v>
      </c>
      <c r="G19" s="48">
        <v>27538.40000000002</v>
      </c>
    </row>
    <row r="20" spans="1:7">
      <c r="A20" s="49">
        <v>46183</v>
      </c>
      <c r="B20" s="39" t="s">
        <v>346</v>
      </c>
      <c r="C20" s="39" t="s">
        <v>850</v>
      </c>
      <c r="D20" s="39" t="s">
        <v>957</v>
      </c>
      <c r="E20" s="48">
        <v>99.9</v>
      </c>
      <c r="F20" s="48">
        <v>0</v>
      </c>
      <c r="G20" s="48">
        <v>27638.300000000021</v>
      </c>
    </row>
    <row r="21" spans="1:7">
      <c r="A21" s="49">
        <v>46183</v>
      </c>
      <c r="B21" s="39" t="s">
        <v>346</v>
      </c>
      <c r="C21" s="39" t="s">
        <v>850</v>
      </c>
      <c r="D21" s="39" t="s">
        <v>958</v>
      </c>
      <c r="E21" s="48">
        <v>89.9</v>
      </c>
      <c r="F21" s="48">
        <v>0</v>
      </c>
      <c r="G21" s="48">
        <v>27728.20000000003</v>
      </c>
    </row>
    <row r="22" spans="1:7">
      <c r="A22" s="49">
        <v>46183</v>
      </c>
      <c r="B22" s="39" t="s">
        <v>346</v>
      </c>
      <c r="C22" s="39" t="s">
        <v>850</v>
      </c>
      <c r="D22" s="39" t="s">
        <v>959</v>
      </c>
      <c r="E22" s="48">
        <v>129.9</v>
      </c>
      <c r="F22" s="48">
        <v>0</v>
      </c>
      <c r="G22" s="48">
        <v>27858.100000000031</v>
      </c>
    </row>
    <row r="23" spans="1:7">
      <c r="A23" s="49">
        <v>46183</v>
      </c>
      <c r="B23" s="39" t="s">
        <v>346</v>
      </c>
      <c r="C23" s="39" t="s">
        <v>850</v>
      </c>
      <c r="D23" s="39" t="s">
        <v>960</v>
      </c>
      <c r="E23" s="48">
        <v>350</v>
      </c>
      <c r="F23" s="48">
        <v>0</v>
      </c>
      <c r="G23" s="48">
        <v>28208.100000000031</v>
      </c>
    </row>
    <row r="24" spans="1:7">
      <c r="A24" s="49">
        <v>46183</v>
      </c>
      <c r="B24" s="39" t="s">
        <v>346</v>
      </c>
      <c r="C24" s="39" t="s">
        <v>850</v>
      </c>
      <c r="D24" s="39" t="s">
        <v>962</v>
      </c>
      <c r="E24" s="48">
        <v>109.9</v>
      </c>
      <c r="F24" s="48">
        <v>0</v>
      </c>
      <c r="G24" s="48">
        <v>28318.000000000029</v>
      </c>
    </row>
    <row r="25" spans="1:7">
      <c r="A25" s="49">
        <v>46208</v>
      </c>
      <c r="B25" s="39" t="s">
        <v>347</v>
      </c>
      <c r="C25" s="39" t="s">
        <v>243</v>
      </c>
      <c r="D25" s="39" t="s">
        <v>963</v>
      </c>
      <c r="E25" s="48">
        <v>0</v>
      </c>
      <c r="F25" s="48">
        <v>3500</v>
      </c>
      <c r="G25" s="48">
        <v>24818.000000000029</v>
      </c>
    </row>
    <row r="26" spans="1:7">
      <c r="A26" s="49">
        <v>46211</v>
      </c>
      <c r="B26" s="39" t="s">
        <v>347</v>
      </c>
      <c r="C26" s="39" t="s">
        <v>247</v>
      </c>
      <c r="D26" s="39" t="s">
        <v>964</v>
      </c>
      <c r="E26" s="48">
        <v>0</v>
      </c>
      <c r="F26" s="48">
        <v>890</v>
      </c>
      <c r="G26" s="48">
        <v>23928.000000000029</v>
      </c>
    </row>
    <row r="27" spans="1:7">
      <c r="A27" s="49">
        <v>46213</v>
      </c>
      <c r="B27" s="39" t="s">
        <v>347</v>
      </c>
      <c r="C27" s="39" t="s">
        <v>872</v>
      </c>
      <c r="D27" s="39" t="s">
        <v>965</v>
      </c>
      <c r="E27" s="48">
        <v>0</v>
      </c>
      <c r="F27" s="48">
        <v>6200</v>
      </c>
      <c r="G27" s="48">
        <v>17728.000000000029</v>
      </c>
    </row>
  </sheetData>
  <pageMargins left="0.75" right="0.75" top="1" bottom="1" header="0.5" footer="0.5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Planilha51">
    <tabColor rgb="FFD4AF37"/>
  </sheetPr>
  <dimension ref="A1:D48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12" customWidth="1"/>
    <col min="2" max="2" width="26" customWidth="1"/>
    <col min="3" max="3" width="16" customWidth="1"/>
    <col min="4" max="4" width="40" customWidth="1"/>
  </cols>
  <sheetData>
    <row r="1" spans="1:4">
      <c r="A1" s="35" t="s">
        <v>528</v>
      </c>
      <c r="B1" s="35" t="s">
        <v>848</v>
      </c>
      <c r="C1" s="35" t="s">
        <v>180</v>
      </c>
      <c r="D1" s="35" t="s">
        <v>238</v>
      </c>
    </row>
    <row r="2" spans="1:4">
      <c r="A2" s="39" t="s">
        <v>620</v>
      </c>
      <c r="B2" s="39" t="s">
        <v>966</v>
      </c>
      <c r="C2" s="36" t="s">
        <v>967</v>
      </c>
      <c r="D2" s="76" t="s">
        <v>968</v>
      </c>
    </row>
    <row r="3" spans="1:4">
      <c r="A3" s="39" t="s">
        <v>620</v>
      </c>
      <c r="B3" s="39" t="s">
        <v>969</v>
      </c>
      <c r="C3" s="36">
        <v>2026</v>
      </c>
      <c r="D3" s="76" t="s">
        <v>970</v>
      </c>
    </row>
    <row r="4" spans="1:4">
      <c r="A4" s="39" t="s">
        <v>620</v>
      </c>
      <c r="B4" s="39" t="s">
        <v>524</v>
      </c>
      <c r="C4" s="36" t="s">
        <v>971</v>
      </c>
      <c r="D4" s="76" t="s">
        <v>972</v>
      </c>
    </row>
    <row r="5" spans="1:4">
      <c r="A5" s="39" t="s">
        <v>973</v>
      </c>
      <c r="B5" s="39" t="s">
        <v>974</v>
      </c>
      <c r="C5" s="36">
        <v>15</v>
      </c>
      <c r="D5" s="76" t="s">
        <v>975</v>
      </c>
    </row>
    <row r="6" spans="1:4">
      <c r="A6" s="39" t="s">
        <v>973</v>
      </c>
      <c r="B6" s="39" t="s">
        <v>976</v>
      </c>
      <c r="C6" s="36">
        <v>30</v>
      </c>
      <c r="D6" s="76" t="s">
        <v>977</v>
      </c>
    </row>
    <row r="7" spans="1:4">
      <c r="A7" s="39" t="s">
        <v>973</v>
      </c>
      <c r="B7" s="39" t="s">
        <v>978</v>
      </c>
      <c r="C7" s="36">
        <v>4</v>
      </c>
      <c r="D7" s="76" t="s">
        <v>979</v>
      </c>
    </row>
    <row r="8" spans="1:4">
      <c r="A8" s="39" t="s">
        <v>973</v>
      </c>
      <c r="B8" s="39" t="s">
        <v>980</v>
      </c>
      <c r="C8" s="36">
        <v>50</v>
      </c>
      <c r="D8" s="76" t="s">
        <v>981</v>
      </c>
    </row>
    <row r="9" spans="1:4">
      <c r="A9" s="39" t="s">
        <v>982</v>
      </c>
      <c r="B9" s="39" t="s">
        <v>983</v>
      </c>
      <c r="C9" s="36">
        <v>60</v>
      </c>
      <c r="D9" s="76" t="s">
        <v>984</v>
      </c>
    </row>
    <row r="10" spans="1:4">
      <c r="A10" s="39" t="s">
        <v>985</v>
      </c>
      <c r="B10" s="39" t="s">
        <v>986</v>
      </c>
      <c r="C10" s="36" t="s">
        <v>987</v>
      </c>
      <c r="D10" s="76" t="s">
        <v>988</v>
      </c>
    </row>
    <row r="11" spans="1:4">
      <c r="A11" s="39" t="s">
        <v>985</v>
      </c>
      <c r="B11" s="39" t="s">
        <v>989</v>
      </c>
      <c r="C11" s="36">
        <v>5</v>
      </c>
      <c r="D11" s="76" t="s">
        <v>990</v>
      </c>
    </row>
    <row r="12" spans="1:4">
      <c r="A12" s="39" t="s">
        <v>985</v>
      </c>
      <c r="B12" s="39" t="s">
        <v>991</v>
      </c>
      <c r="C12" s="36" t="s">
        <v>987</v>
      </c>
      <c r="D12" s="76" t="s">
        <v>992</v>
      </c>
    </row>
    <row r="13" spans="1:4">
      <c r="A13" s="39" t="s">
        <v>985</v>
      </c>
      <c r="B13" s="39" t="s">
        <v>993</v>
      </c>
      <c r="C13" s="36" t="s">
        <v>987</v>
      </c>
      <c r="D13" s="76" t="s">
        <v>994</v>
      </c>
    </row>
    <row r="14" spans="1:4">
      <c r="A14" s="39" t="s">
        <v>985</v>
      </c>
      <c r="B14" s="39" t="s">
        <v>995</v>
      </c>
      <c r="C14" s="36">
        <v>4</v>
      </c>
      <c r="D14" s="76" t="s">
        <v>996</v>
      </c>
    </row>
    <row r="15" spans="1:4">
      <c r="A15" s="39" t="s">
        <v>985</v>
      </c>
      <c r="B15" s="39" t="s">
        <v>997</v>
      </c>
      <c r="C15" s="36">
        <v>15</v>
      </c>
      <c r="D15" s="76" t="s">
        <v>998</v>
      </c>
    </row>
    <row r="16" spans="1:4">
      <c r="A16" s="39" t="s">
        <v>999</v>
      </c>
      <c r="B16" s="39" t="s">
        <v>1000</v>
      </c>
      <c r="C16" s="36" t="s">
        <v>1001</v>
      </c>
      <c r="D16" s="76" t="s">
        <v>1002</v>
      </c>
    </row>
    <row r="17" spans="1:4">
      <c r="A17" s="39" t="s">
        <v>999</v>
      </c>
      <c r="B17" s="39" t="s">
        <v>1003</v>
      </c>
      <c r="C17" s="36" t="s">
        <v>1001</v>
      </c>
      <c r="D17" s="76" t="s">
        <v>1004</v>
      </c>
    </row>
    <row r="18" spans="1:4">
      <c r="A18" s="39" t="s">
        <v>999</v>
      </c>
      <c r="B18" s="39" t="s">
        <v>1005</v>
      </c>
      <c r="C18" s="36" t="s">
        <v>1001</v>
      </c>
      <c r="D18" s="76" t="s">
        <v>1006</v>
      </c>
    </row>
    <row r="19" spans="1:4">
      <c r="A19" s="39" t="s">
        <v>999</v>
      </c>
      <c r="B19" s="39" t="s">
        <v>1007</v>
      </c>
      <c r="C19" s="36" t="s">
        <v>1001</v>
      </c>
      <c r="D19" s="76" t="s">
        <v>1008</v>
      </c>
    </row>
    <row r="20" spans="1:4">
      <c r="A20" s="39" t="s">
        <v>20</v>
      </c>
      <c r="B20" s="39" t="s">
        <v>1009</v>
      </c>
      <c r="C20" s="36" t="s">
        <v>799</v>
      </c>
      <c r="D20" s="76" t="s">
        <v>1010</v>
      </c>
    </row>
    <row r="21" spans="1:4">
      <c r="A21" s="39" t="s">
        <v>20</v>
      </c>
      <c r="B21" s="39" t="s">
        <v>1011</v>
      </c>
      <c r="C21" s="36">
        <v>30</v>
      </c>
      <c r="D21" s="76" t="s">
        <v>1012</v>
      </c>
    </row>
    <row r="22" spans="1:4">
      <c r="A22" s="39" t="s">
        <v>20</v>
      </c>
      <c r="B22" s="39" t="s">
        <v>1013</v>
      </c>
      <c r="C22" s="36" t="s">
        <v>987</v>
      </c>
      <c r="D22" s="76" t="s">
        <v>1014</v>
      </c>
    </row>
    <row r="23" spans="1:4">
      <c r="A23" s="39" t="s">
        <v>20</v>
      </c>
      <c r="B23" s="39" t="s">
        <v>1015</v>
      </c>
      <c r="C23" s="36">
        <v>5</v>
      </c>
      <c r="D23" s="76" t="s">
        <v>1016</v>
      </c>
    </row>
    <row r="24" spans="1:4">
      <c r="A24" s="39" t="s">
        <v>1017</v>
      </c>
      <c r="B24" s="39" t="s">
        <v>1018</v>
      </c>
      <c r="C24" s="36">
        <v>2000</v>
      </c>
      <c r="D24" s="76" t="s">
        <v>1019</v>
      </c>
    </row>
    <row r="25" spans="1:4">
      <c r="A25" s="39" t="s">
        <v>1017</v>
      </c>
      <c r="B25" s="39" t="s">
        <v>997</v>
      </c>
      <c r="C25" s="36">
        <v>15</v>
      </c>
      <c r="D25" s="76" t="s">
        <v>1020</v>
      </c>
    </row>
    <row r="26" spans="1:4">
      <c r="A26" s="39" t="s">
        <v>1017</v>
      </c>
      <c r="B26" s="39" t="s">
        <v>1021</v>
      </c>
      <c r="C26" s="36" t="s">
        <v>1001</v>
      </c>
      <c r="D26" s="76" t="s">
        <v>1022</v>
      </c>
    </row>
    <row r="27" spans="1:4">
      <c r="A27" s="39" t="s">
        <v>1023</v>
      </c>
      <c r="B27" s="39" t="s">
        <v>1024</v>
      </c>
      <c r="C27" s="36" t="s">
        <v>723</v>
      </c>
      <c r="D27" s="76" t="s">
        <v>1025</v>
      </c>
    </row>
    <row r="28" spans="1:4">
      <c r="A28" s="39" t="s">
        <v>1023</v>
      </c>
      <c r="B28" s="39" t="s">
        <v>1026</v>
      </c>
      <c r="C28" s="36" t="s">
        <v>785</v>
      </c>
      <c r="D28" s="76" t="s">
        <v>1027</v>
      </c>
    </row>
    <row r="29" spans="1:4">
      <c r="A29" s="39" t="s">
        <v>1023</v>
      </c>
      <c r="B29" s="39" t="s">
        <v>1028</v>
      </c>
      <c r="C29" s="36" t="s">
        <v>787</v>
      </c>
      <c r="D29" s="76" t="s">
        <v>1029</v>
      </c>
    </row>
    <row r="30" spans="1:4">
      <c r="A30" s="39" t="s">
        <v>1023</v>
      </c>
      <c r="B30" s="39" t="s">
        <v>1030</v>
      </c>
      <c r="C30" s="36" t="s">
        <v>987</v>
      </c>
      <c r="D30" s="76" t="s">
        <v>1031</v>
      </c>
    </row>
    <row r="31" spans="1:4">
      <c r="A31" s="39" t="s">
        <v>1023</v>
      </c>
      <c r="B31" s="39" t="s">
        <v>1032</v>
      </c>
      <c r="C31" s="36" t="s">
        <v>107</v>
      </c>
      <c r="D31" s="76" t="s">
        <v>1033</v>
      </c>
    </row>
    <row r="32" spans="1:4">
      <c r="A32" s="39" t="s">
        <v>1023</v>
      </c>
      <c r="B32" s="39" t="s">
        <v>1034</v>
      </c>
      <c r="C32" s="36" t="s">
        <v>987</v>
      </c>
      <c r="D32" s="76" t="s">
        <v>1035</v>
      </c>
    </row>
    <row r="33" spans="1:4">
      <c r="A33" s="39" t="s">
        <v>1036</v>
      </c>
      <c r="B33" s="39" t="s">
        <v>1037</v>
      </c>
      <c r="C33" s="36">
        <v>45</v>
      </c>
      <c r="D33" s="76" t="s">
        <v>1038</v>
      </c>
    </row>
    <row r="34" spans="1:4">
      <c r="A34" s="39" t="s">
        <v>1036</v>
      </c>
      <c r="B34" s="39" t="s">
        <v>1039</v>
      </c>
      <c r="C34" s="36" t="s">
        <v>1001</v>
      </c>
      <c r="D34" s="76" t="s">
        <v>1040</v>
      </c>
    </row>
    <row r="35" spans="1:4">
      <c r="A35" s="39" t="s">
        <v>19</v>
      </c>
      <c r="B35" s="39" t="s">
        <v>928</v>
      </c>
      <c r="C35" s="36">
        <v>2</v>
      </c>
      <c r="D35" s="76" t="s">
        <v>1041</v>
      </c>
    </row>
    <row r="36" spans="1:4">
      <c r="A36" s="39" t="s">
        <v>19</v>
      </c>
      <c r="B36" s="39" t="s">
        <v>929</v>
      </c>
      <c r="C36" s="36">
        <v>1</v>
      </c>
      <c r="D36" s="76" t="s">
        <v>1042</v>
      </c>
    </row>
    <row r="37" spans="1:4">
      <c r="A37" s="39" t="s">
        <v>19</v>
      </c>
      <c r="B37" s="39" t="s">
        <v>989</v>
      </c>
      <c r="C37" s="36">
        <v>5</v>
      </c>
      <c r="D37" s="76" t="s">
        <v>1043</v>
      </c>
    </row>
    <row r="38" spans="1:4">
      <c r="A38" s="39" t="s">
        <v>19</v>
      </c>
      <c r="B38" s="39" t="s">
        <v>1044</v>
      </c>
      <c r="C38" s="36">
        <v>10</v>
      </c>
      <c r="D38" s="76" t="s">
        <v>1045</v>
      </c>
    </row>
    <row r="39" spans="1:4">
      <c r="A39" s="39" t="s">
        <v>19</v>
      </c>
      <c r="B39" s="39" t="s">
        <v>1046</v>
      </c>
      <c r="C39" s="38">
        <v>50000</v>
      </c>
      <c r="D39" s="76" t="s">
        <v>1047</v>
      </c>
    </row>
    <row r="40" spans="1:4">
      <c r="A40" s="39" t="s">
        <v>19</v>
      </c>
      <c r="B40" s="39" t="s">
        <v>1048</v>
      </c>
      <c r="C40" s="36" t="s">
        <v>884</v>
      </c>
      <c r="D40" s="76" t="s">
        <v>1049</v>
      </c>
    </row>
    <row r="41" spans="1:4">
      <c r="A41" s="39" t="s">
        <v>19</v>
      </c>
      <c r="B41" s="39" t="s">
        <v>1050</v>
      </c>
      <c r="C41" s="36" t="s">
        <v>884</v>
      </c>
      <c r="D41" s="76" t="s">
        <v>1049</v>
      </c>
    </row>
    <row r="42" spans="1:4">
      <c r="A42" s="39" t="s">
        <v>1051</v>
      </c>
      <c r="B42" s="39" t="s">
        <v>98</v>
      </c>
      <c r="C42" s="36" t="s">
        <v>0</v>
      </c>
      <c r="D42" s="76" t="s">
        <v>1052</v>
      </c>
    </row>
    <row r="43" spans="1:4">
      <c r="A43" s="39" t="s">
        <v>1051</v>
      </c>
      <c r="B43" s="39" t="s">
        <v>89</v>
      </c>
      <c r="C43" s="36" t="s">
        <v>90</v>
      </c>
      <c r="D43" s="76" t="s">
        <v>89</v>
      </c>
    </row>
    <row r="44" spans="1:4">
      <c r="A44" s="39" t="s">
        <v>1051</v>
      </c>
      <c r="B44" s="39" t="s">
        <v>101</v>
      </c>
      <c r="C44" s="36" t="s">
        <v>1053</v>
      </c>
      <c r="D44" s="76" t="s">
        <v>1054</v>
      </c>
    </row>
    <row r="45" spans="1:4">
      <c r="A45" s="39" t="s">
        <v>1051</v>
      </c>
      <c r="B45" s="39" t="s">
        <v>84</v>
      </c>
      <c r="C45" s="36" t="s">
        <v>1055</v>
      </c>
      <c r="D45" s="76" t="s">
        <v>1056</v>
      </c>
    </row>
    <row r="46" spans="1:4">
      <c r="A46" s="39" t="s">
        <v>1051</v>
      </c>
      <c r="B46" s="39" t="s">
        <v>1057</v>
      </c>
      <c r="C46" s="36" t="s">
        <v>1058</v>
      </c>
      <c r="D46" s="76" t="s">
        <v>1059</v>
      </c>
    </row>
    <row r="48" spans="1:4">
      <c r="A48" s="73" t="s">
        <v>1060</v>
      </c>
    </row>
  </sheetData>
  <pageMargins left="0.75" right="0.75" top="1" bottom="1" header="0.5" footer="0.5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Planilha52">
    <tabColor rgb="FFA3001E"/>
  </sheetPr>
  <dimension ref="A1:G9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2" width="14" customWidth="1"/>
    <col min="3" max="6" width="12" customWidth="1"/>
    <col min="7" max="7" width="10" customWidth="1"/>
  </cols>
  <sheetData>
    <row r="1" spans="1:7">
      <c r="A1" s="35" t="s">
        <v>70</v>
      </c>
      <c r="B1" s="35" t="s">
        <v>54</v>
      </c>
      <c r="C1" s="35" t="s">
        <v>180</v>
      </c>
      <c r="D1" s="35" t="s">
        <v>73</v>
      </c>
      <c r="E1" s="35" t="s">
        <v>181</v>
      </c>
      <c r="F1" s="35" t="s">
        <v>1061</v>
      </c>
      <c r="G1" s="35" t="s">
        <v>106</v>
      </c>
    </row>
    <row r="2" spans="1:7">
      <c r="A2" s="39">
        <v>1</v>
      </c>
      <c r="B2" s="39" t="s">
        <v>118</v>
      </c>
      <c r="C2" s="48">
        <v>149</v>
      </c>
      <c r="D2" s="48">
        <v>50</v>
      </c>
      <c r="E2" s="39">
        <v>10</v>
      </c>
      <c r="F2" s="39">
        <v>0</v>
      </c>
      <c r="G2" s="39" t="s">
        <v>120</v>
      </c>
    </row>
    <row r="3" spans="1:7">
      <c r="A3" s="39">
        <v>2</v>
      </c>
      <c r="B3" s="39" t="s">
        <v>1062</v>
      </c>
      <c r="C3" s="48">
        <v>199</v>
      </c>
      <c r="D3" s="48">
        <v>80</v>
      </c>
      <c r="E3" s="39">
        <v>10</v>
      </c>
      <c r="F3" s="39">
        <v>12</v>
      </c>
      <c r="G3" s="39" t="s">
        <v>120</v>
      </c>
    </row>
    <row r="4" spans="1:7">
      <c r="A4" s="39">
        <v>3</v>
      </c>
      <c r="B4" s="39" t="s">
        <v>1063</v>
      </c>
      <c r="C4" s="48">
        <v>299</v>
      </c>
      <c r="D4" s="48">
        <v>100</v>
      </c>
      <c r="E4" s="39">
        <v>5</v>
      </c>
      <c r="F4" s="39">
        <v>12</v>
      </c>
      <c r="G4" s="39" t="s">
        <v>120</v>
      </c>
    </row>
    <row r="5" spans="1:7">
      <c r="A5" s="39">
        <v>4</v>
      </c>
      <c r="B5" s="39" t="s">
        <v>128</v>
      </c>
      <c r="C5" s="48">
        <v>109.9</v>
      </c>
      <c r="D5" s="48">
        <v>50</v>
      </c>
      <c r="E5" s="39">
        <v>10</v>
      </c>
      <c r="F5" s="39">
        <v>3</v>
      </c>
      <c r="G5" s="39" t="s">
        <v>120</v>
      </c>
    </row>
    <row r="6" spans="1:7">
      <c r="A6" s="39">
        <v>5</v>
      </c>
      <c r="B6" s="39" t="s">
        <v>136</v>
      </c>
      <c r="C6" s="48">
        <v>99.9</v>
      </c>
      <c r="D6" s="48">
        <v>50</v>
      </c>
      <c r="E6" s="39">
        <v>10</v>
      </c>
      <c r="F6" s="39">
        <v>6</v>
      </c>
      <c r="G6" s="39" t="s">
        <v>120</v>
      </c>
    </row>
    <row r="7" spans="1:7">
      <c r="A7" s="39">
        <v>6</v>
      </c>
      <c r="B7" s="39" t="s">
        <v>144</v>
      </c>
      <c r="C7" s="48">
        <v>89.9</v>
      </c>
      <c r="D7" s="48">
        <v>50</v>
      </c>
      <c r="E7" s="39">
        <v>10</v>
      </c>
      <c r="F7" s="39">
        <v>12</v>
      </c>
      <c r="G7" s="39" t="s">
        <v>120</v>
      </c>
    </row>
    <row r="8" spans="1:7">
      <c r="A8" s="39">
        <v>7</v>
      </c>
      <c r="B8" s="39" t="s">
        <v>159</v>
      </c>
      <c r="C8" s="48">
        <v>350</v>
      </c>
      <c r="D8" s="48">
        <v>80</v>
      </c>
      <c r="E8" s="39">
        <v>10</v>
      </c>
      <c r="F8" s="39">
        <v>0</v>
      </c>
      <c r="G8" s="39" t="s">
        <v>120</v>
      </c>
    </row>
    <row r="9" spans="1:7">
      <c r="A9" s="39">
        <v>8</v>
      </c>
      <c r="B9" s="39" t="s">
        <v>401</v>
      </c>
      <c r="C9" s="48">
        <v>40</v>
      </c>
      <c r="D9" s="48">
        <v>0</v>
      </c>
      <c r="E9" s="39">
        <v>10</v>
      </c>
      <c r="F9" s="39">
        <v>0</v>
      </c>
      <c r="G9" s="39" t="s">
        <v>120</v>
      </c>
    </row>
  </sheetData>
  <pageMargins left="0.75" right="0.75" top="1" bottom="1" header="0.5" footer="0.5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Planilha53">
    <tabColor rgb="FFA3001E"/>
  </sheetPr>
  <dimension ref="A1:D7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2" width="16" customWidth="1"/>
    <col min="3" max="3" width="10" customWidth="1"/>
    <col min="4" max="4" width="16" customWidth="1"/>
  </cols>
  <sheetData>
    <row r="1" spans="1:4" ht="28.8">
      <c r="A1" s="35" t="s">
        <v>70</v>
      </c>
      <c r="B1" s="35" t="s">
        <v>200</v>
      </c>
      <c r="C1" s="35" t="s">
        <v>1064</v>
      </c>
      <c r="D1" s="35" t="s">
        <v>1065</v>
      </c>
    </row>
    <row r="2" spans="1:4">
      <c r="A2" s="39">
        <v>1</v>
      </c>
      <c r="B2" s="39" t="s">
        <v>79</v>
      </c>
      <c r="C2" s="77">
        <v>0</v>
      </c>
      <c r="D2" s="39">
        <v>0</v>
      </c>
    </row>
    <row r="3" spans="1:4">
      <c r="A3" s="39">
        <v>2</v>
      </c>
      <c r="B3" s="39" t="s">
        <v>852</v>
      </c>
      <c r="C3" s="77">
        <v>0</v>
      </c>
      <c r="D3" s="39">
        <v>0</v>
      </c>
    </row>
    <row r="4" spans="1:4">
      <c r="A4" s="39">
        <v>3</v>
      </c>
      <c r="B4" s="39" t="s">
        <v>856</v>
      </c>
      <c r="C4" s="77">
        <v>1.5</v>
      </c>
      <c r="D4" s="39">
        <v>1</v>
      </c>
    </row>
    <row r="5" spans="1:4">
      <c r="A5" s="39">
        <v>4</v>
      </c>
      <c r="B5" s="39" t="s">
        <v>864</v>
      </c>
      <c r="C5" s="77">
        <v>3</v>
      </c>
      <c r="D5" s="39">
        <v>30</v>
      </c>
    </row>
    <row r="6" spans="1:4">
      <c r="A6" s="39">
        <v>5</v>
      </c>
      <c r="B6" s="39" t="s">
        <v>870</v>
      </c>
      <c r="C6" s="77">
        <v>2</v>
      </c>
      <c r="D6" s="39">
        <v>2</v>
      </c>
    </row>
    <row r="7" spans="1:4">
      <c r="A7" s="39">
        <v>6</v>
      </c>
      <c r="B7" s="39" t="s">
        <v>875</v>
      </c>
      <c r="C7" s="77">
        <v>0</v>
      </c>
      <c r="D7" s="39">
        <v>1</v>
      </c>
    </row>
  </sheetData>
  <pageMargins left="0.75" right="0.75" top="1" bottom="1" header="0.5" footer="0.5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Planilha54">
    <tabColor rgb="FFA3001E"/>
  </sheetPr>
  <dimension ref="A1:B17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2" width="14" customWidth="1"/>
  </cols>
  <sheetData>
    <row r="1" spans="1:2">
      <c r="A1" s="35" t="s">
        <v>294</v>
      </c>
      <c r="B1" s="35" t="s">
        <v>106</v>
      </c>
    </row>
    <row r="2" spans="1:2">
      <c r="A2" s="39" t="s">
        <v>177</v>
      </c>
      <c r="B2" s="39" t="s">
        <v>120</v>
      </c>
    </row>
    <row r="3" spans="1:2">
      <c r="A3" s="39" t="s">
        <v>177</v>
      </c>
      <c r="B3" s="39" t="s">
        <v>862</v>
      </c>
    </row>
    <row r="4" spans="1:2">
      <c r="A4" s="39" t="s">
        <v>177</v>
      </c>
      <c r="B4" s="39" t="s">
        <v>145</v>
      </c>
    </row>
    <row r="5" spans="1:2">
      <c r="A5" s="39" t="s">
        <v>177</v>
      </c>
      <c r="B5" s="39" t="s">
        <v>859</v>
      </c>
    </row>
    <row r="6" spans="1:2">
      <c r="A6" s="39" t="s">
        <v>177</v>
      </c>
      <c r="B6" s="39" t="s">
        <v>166</v>
      </c>
    </row>
    <row r="7" spans="1:2">
      <c r="A7" s="39" t="s">
        <v>443</v>
      </c>
      <c r="B7" s="39" t="s">
        <v>244</v>
      </c>
    </row>
    <row r="8" spans="1:2">
      <c r="A8" s="39" t="s">
        <v>443</v>
      </c>
      <c r="B8" s="39" t="s">
        <v>186</v>
      </c>
    </row>
    <row r="9" spans="1:2">
      <c r="A9" s="39" t="s">
        <v>443</v>
      </c>
      <c r="B9" s="39" t="s">
        <v>187</v>
      </c>
    </row>
    <row r="10" spans="1:2">
      <c r="A10" s="39" t="s">
        <v>443</v>
      </c>
      <c r="B10" s="39" t="s">
        <v>859</v>
      </c>
    </row>
    <row r="11" spans="1:2">
      <c r="A11" s="39" t="s">
        <v>443</v>
      </c>
      <c r="B11" s="39" t="s">
        <v>867</v>
      </c>
    </row>
    <row r="12" spans="1:2">
      <c r="A12" s="39" t="s">
        <v>76</v>
      </c>
      <c r="B12" s="39" t="s">
        <v>120</v>
      </c>
    </row>
    <row r="13" spans="1:2">
      <c r="A13" s="39" t="s">
        <v>76</v>
      </c>
      <c r="B13" s="39" t="s">
        <v>854</v>
      </c>
    </row>
    <row r="14" spans="1:2">
      <c r="A14" s="39" t="s">
        <v>76</v>
      </c>
      <c r="B14" s="39" t="s">
        <v>862</v>
      </c>
    </row>
    <row r="15" spans="1:2">
      <c r="A15" s="39" t="s">
        <v>27</v>
      </c>
      <c r="B15" s="39" t="s">
        <v>244</v>
      </c>
    </row>
    <row r="16" spans="1:2">
      <c r="A16" s="39" t="s">
        <v>27</v>
      </c>
      <c r="B16" s="39" t="s">
        <v>1066</v>
      </c>
    </row>
    <row r="17" spans="1:2">
      <c r="A17" s="39" t="s">
        <v>27</v>
      </c>
      <c r="B17" s="39" t="s">
        <v>859</v>
      </c>
    </row>
  </sheetData>
  <pageMargins left="0.75" right="0.75" top="1" bottom="1" header="0.5" footer="0.5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Planilha55">
    <tabColor rgb="FFD4AF37"/>
  </sheetPr>
  <dimension ref="A1:I7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14" customWidth="1"/>
    <col min="2" max="3" width="12" customWidth="1"/>
    <col min="4" max="4" width="10" customWidth="1"/>
    <col min="5" max="5" width="14" customWidth="1"/>
    <col min="6" max="6" width="10" customWidth="1"/>
    <col min="7" max="7" width="14" customWidth="1"/>
    <col min="8" max="8" width="12" customWidth="1"/>
    <col min="9" max="9" width="10" customWidth="1"/>
  </cols>
  <sheetData>
    <row r="1" spans="1:9">
      <c r="A1" s="35" t="s">
        <v>900</v>
      </c>
      <c r="B1" s="35" t="s">
        <v>1067</v>
      </c>
      <c r="C1" s="35" t="s">
        <v>19</v>
      </c>
      <c r="D1" s="35" t="s">
        <v>20</v>
      </c>
      <c r="E1" s="35" t="s">
        <v>1068</v>
      </c>
      <c r="F1" s="35" t="s">
        <v>23</v>
      </c>
      <c r="G1" s="35" t="s">
        <v>850</v>
      </c>
      <c r="H1" s="35" t="s">
        <v>1069</v>
      </c>
      <c r="I1" s="35" t="s">
        <v>1070</v>
      </c>
    </row>
    <row r="2" spans="1:9">
      <c r="A2" s="39" t="s">
        <v>789</v>
      </c>
      <c r="B2" s="39">
        <v>1</v>
      </c>
      <c r="C2" s="39">
        <v>1</v>
      </c>
      <c r="D2" s="39">
        <v>1</v>
      </c>
      <c r="E2" s="39">
        <v>1</v>
      </c>
      <c r="F2" s="39">
        <v>1</v>
      </c>
      <c r="G2" s="39">
        <v>1</v>
      </c>
      <c r="H2" s="39">
        <v>1</v>
      </c>
      <c r="I2" s="39">
        <v>1</v>
      </c>
    </row>
    <row r="3" spans="1:9">
      <c r="A3" s="39" t="s">
        <v>19</v>
      </c>
      <c r="B3" s="39">
        <v>1</v>
      </c>
      <c r="C3" s="39">
        <v>1</v>
      </c>
      <c r="D3" s="39">
        <v>0</v>
      </c>
      <c r="E3" s="39">
        <v>0</v>
      </c>
      <c r="F3" s="39">
        <v>1</v>
      </c>
      <c r="G3" s="39">
        <v>1</v>
      </c>
      <c r="H3" s="39">
        <v>1</v>
      </c>
      <c r="I3" s="39">
        <v>0</v>
      </c>
    </row>
    <row r="4" spans="1:9">
      <c r="A4" s="39" t="s">
        <v>906</v>
      </c>
      <c r="B4" s="39">
        <v>1</v>
      </c>
      <c r="C4" s="39">
        <v>0</v>
      </c>
      <c r="D4" s="39">
        <v>1</v>
      </c>
      <c r="E4" s="39">
        <v>0</v>
      </c>
      <c r="F4" s="39">
        <v>1</v>
      </c>
      <c r="G4" s="39">
        <v>1</v>
      </c>
      <c r="H4" s="39">
        <v>1</v>
      </c>
      <c r="I4" s="39">
        <v>0</v>
      </c>
    </row>
    <row r="5" spans="1:9">
      <c r="A5" s="39" t="s">
        <v>76</v>
      </c>
      <c r="B5" s="39">
        <v>1</v>
      </c>
      <c r="C5" s="39">
        <v>0</v>
      </c>
      <c r="D5" s="39">
        <v>0</v>
      </c>
      <c r="E5" s="39">
        <v>0</v>
      </c>
      <c r="F5" s="39">
        <v>1</v>
      </c>
      <c r="G5" s="39">
        <v>0</v>
      </c>
      <c r="H5" s="39">
        <v>1</v>
      </c>
      <c r="I5" s="39">
        <v>0</v>
      </c>
    </row>
    <row r="6" spans="1:9">
      <c r="A6" s="39" t="s">
        <v>913</v>
      </c>
      <c r="B6" s="39">
        <v>1</v>
      </c>
      <c r="C6" s="39">
        <v>1</v>
      </c>
      <c r="D6" s="39">
        <v>1</v>
      </c>
      <c r="E6" s="39">
        <v>1</v>
      </c>
      <c r="F6" s="39">
        <v>1</v>
      </c>
      <c r="G6" s="39">
        <v>1</v>
      </c>
      <c r="H6" s="39">
        <v>1</v>
      </c>
      <c r="I6" s="39">
        <v>0</v>
      </c>
    </row>
    <row r="7" spans="1:9">
      <c r="A7" s="39" t="s">
        <v>916</v>
      </c>
      <c r="B7" s="39">
        <v>1</v>
      </c>
      <c r="C7" s="39">
        <v>1</v>
      </c>
      <c r="D7" s="39">
        <v>1</v>
      </c>
      <c r="E7" s="39">
        <v>0</v>
      </c>
      <c r="F7" s="39">
        <v>1</v>
      </c>
      <c r="G7" s="39">
        <v>1</v>
      </c>
      <c r="H7" s="39">
        <v>1</v>
      </c>
      <c r="I7" s="39">
        <v>0</v>
      </c>
    </row>
  </sheetData>
  <pageMargins left="0.75" right="0.75" top="1" bottom="1" header="0.5" footer="0.5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Planilha56">
    <tabColor rgb="FFD4AF37"/>
  </sheetPr>
  <dimension ref="A1:B7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2" width="12" customWidth="1"/>
  </cols>
  <sheetData>
    <row r="1" spans="1:2">
      <c r="A1" s="35" t="s">
        <v>703</v>
      </c>
      <c r="B1" s="35" t="s">
        <v>1071</v>
      </c>
    </row>
    <row r="2" spans="1:2">
      <c r="A2" s="39" t="s">
        <v>1072</v>
      </c>
      <c r="B2" s="78" t="s">
        <v>1073</v>
      </c>
    </row>
    <row r="3" spans="1:2">
      <c r="A3" s="39" t="s">
        <v>1074</v>
      </c>
      <c r="B3" s="78" t="s">
        <v>1075</v>
      </c>
    </row>
    <row r="4" spans="1:2">
      <c r="A4" s="39" t="s">
        <v>1076</v>
      </c>
      <c r="B4" s="78" t="s">
        <v>1077</v>
      </c>
    </row>
    <row r="5" spans="1:2">
      <c r="A5" s="39" t="s">
        <v>429</v>
      </c>
      <c r="B5" s="78" t="s">
        <v>1078</v>
      </c>
    </row>
    <row r="6" spans="1:2">
      <c r="A6" s="39" t="s">
        <v>1079</v>
      </c>
      <c r="B6" s="78" t="s">
        <v>1080</v>
      </c>
    </row>
    <row r="7" spans="1:2">
      <c r="A7" s="39" t="s">
        <v>1081</v>
      </c>
      <c r="B7" s="78" t="s">
        <v>1082</v>
      </c>
    </row>
  </sheetData>
  <pageMargins left="0.75" right="0.75" top="1" bottom="1" header="0.5" footer="0.5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Planilha57">
    <tabColor rgb="FFD4AF37"/>
  </sheetPr>
  <dimension ref="A1:G11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16" customWidth="1"/>
    <col min="2" max="3" width="12" customWidth="1"/>
    <col min="4" max="4" width="10" customWidth="1"/>
    <col min="5" max="7" width="12" customWidth="1"/>
  </cols>
  <sheetData>
    <row r="1" spans="1:7">
      <c r="A1" s="35" t="s">
        <v>50</v>
      </c>
      <c r="B1" s="35" t="s">
        <v>40</v>
      </c>
      <c r="C1" s="35" t="s">
        <v>51</v>
      </c>
      <c r="D1" s="35" t="s">
        <v>1083</v>
      </c>
      <c r="E1" s="35" t="s">
        <v>1084</v>
      </c>
      <c r="F1" s="35" t="s">
        <v>52</v>
      </c>
      <c r="G1" s="35" t="s">
        <v>660</v>
      </c>
    </row>
    <row r="2" spans="1:7">
      <c r="A2" s="39" t="s">
        <v>58</v>
      </c>
      <c r="B2" s="48">
        <v>50000</v>
      </c>
      <c r="C2" s="48">
        <v>0</v>
      </c>
      <c r="D2" s="39" t="s">
        <v>1058</v>
      </c>
      <c r="E2" s="39" t="s">
        <v>19</v>
      </c>
      <c r="F2" s="79">
        <v>0</v>
      </c>
      <c r="G2" s="39" t="s">
        <v>38</v>
      </c>
    </row>
    <row r="3" spans="1:7">
      <c r="A3" s="39" t="s">
        <v>1085</v>
      </c>
      <c r="B3" s="39">
        <v>40</v>
      </c>
      <c r="C3" s="39">
        <v>0</v>
      </c>
      <c r="D3" s="39" t="s">
        <v>1086</v>
      </c>
      <c r="E3" s="39" t="s">
        <v>1087</v>
      </c>
      <c r="F3" s="79">
        <v>0</v>
      </c>
      <c r="G3" s="39" t="s">
        <v>38</v>
      </c>
    </row>
    <row r="4" spans="1:7">
      <c r="A4" s="39" t="s">
        <v>39</v>
      </c>
      <c r="B4" s="39">
        <v>5</v>
      </c>
      <c r="C4" s="39">
        <v>0</v>
      </c>
      <c r="D4" s="39" t="s">
        <v>400</v>
      </c>
      <c r="E4" s="39" t="s">
        <v>1087</v>
      </c>
      <c r="F4" s="79">
        <v>0</v>
      </c>
      <c r="G4" s="39" t="s">
        <v>38</v>
      </c>
    </row>
    <row r="5" spans="1:7">
      <c r="A5" s="39" t="s">
        <v>195</v>
      </c>
      <c r="B5" s="39">
        <v>5</v>
      </c>
      <c r="C5" s="39">
        <v>0</v>
      </c>
      <c r="D5" s="39" t="s">
        <v>400</v>
      </c>
      <c r="E5" s="39" t="s">
        <v>19</v>
      </c>
      <c r="F5" s="79">
        <v>0</v>
      </c>
      <c r="G5" s="39" t="s">
        <v>38</v>
      </c>
    </row>
    <row r="6" spans="1:7">
      <c r="A6" s="39" t="s">
        <v>209</v>
      </c>
      <c r="B6" s="48">
        <v>180</v>
      </c>
      <c r="C6" s="48">
        <v>0</v>
      </c>
      <c r="D6" s="39" t="s">
        <v>1058</v>
      </c>
      <c r="E6" s="39" t="s">
        <v>19</v>
      </c>
      <c r="F6" s="79">
        <v>0</v>
      </c>
      <c r="G6" s="39" t="s">
        <v>38</v>
      </c>
    </row>
    <row r="7" spans="1:7">
      <c r="A7" s="39" t="s">
        <v>1088</v>
      </c>
      <c r="B7" s="39">
        <v>120</v>
      </c>
      <c r="C7" s="39">
        <v>0</v>
      </c>
      <c r="D7" s="39" t="s">
        <v>1086</v>
      </c>
      <c r="E7" s="39" t="s">
        <v>1087</v>
      </c>
      <c r="F7" s="79">
        <v>0</v>
      </c>
      <c r="G7" s="39" t="s">
        <v>38</v>
      </c>
    </row>
    <row r="8" spans="1:7">
      <c r="A8" s="39" t="s">
        <v>1089</v>
      </c>
      <c r="B8" s="39">
        <v>30</v>
      </c>
      <c r="C8" s="39">
        <v>0</v>
      </c>
      <c r="D8" s="39" t="s">
        <v>1086</v>
      </c>
      <c r="E8" s="39" t="s">
        <v>1090</v>
      </c>
      <c r="F8" s="79">
        <v>0</v>
      </c>
      <c r="G8" s="39" t="s">
        <v>38</v>
      </c>
    </row>
    <row r="9" spans="1:7">
      <c r="A9" s="39" t="s">
        <v>641</v>
      </c>
      <c r="B9" s="48">
        <v>2000</v>
      </c>
      <c r="C9" s="48">
        <v>0</v>
      </c>
      <c r="D9" s="39" t="s">
        <v>1058</v>
      </c>
      <c r="E9" s="39" t="s">
        <v>1091</v>
      </c>
      <c r="F9" s="79">
        <v>0</v>
      </c>
      <c r="G9" s="39" t="s">
        <v>38</v>
      </c>
    </row>
    <row r="10" spans="1:7">
      <c r="A10" s="39" t="s">
        <v>642</v>
      </c>
      <c r="B10" s="48">
        <v>150</v>
      </c>
      <c r="C10" s="48">
        <v>0</v>
      </c>
      <c r="D10" s="39" t="s">
        <v>1058</v>
      </c>
      <c r="E10" s="39" t="s">
        <v>1091</v>
      </c>
      <c r="F10" s="79">
        <v>0</v>
      </c>
      <c r="G10" s="39" t="s">
        <v>38</v>
      </c>
    </row>
    <row r="11" spans="1:7">
      <c r="A11" s="39" t="s">
        <v>60</v>
      </c>
      <c r="B11" s="48">
        <v>20000</v>
      </c>
      <c r="C11" s="48">
        <v>0</v>
      </c>
      <c r="D11" s="39" t="s">
        <v>1058</v>
      </c>
      <c r="E11" s="39" t="s">
        <v>19</v>
      </c>
      <c r="F11" s="79">
        <v>0</v>
      </c>
      <c r="G11" s="39" t="s">
        <v>38</v>
      </c>
    </row>
  </sheetData>
  <pageMargins left="0.75" right="0.75" top="1" bottom="1" header="0.5" footer="0.5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Planilha58">
    <tabColor rgb="FFA3001E"/>
  </sheetPr>
  <dimension ref="A1:G4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12" customWidth="1"/>
    <col min="2" max="2" width="8" customWidth="1"/>
    <col min="3" max="3" width="12" customWidth="1"/>
    <col min="4" max="4" width="10" customWidth="1"/>
    <col min="5" max="5" width="48" customWidth="1"/>
    <col min="6" max="6" width="16" customWidth="1"/>
    <col min="7" max="7" width="8" customWidth="1"/>
  </cols>
  <sheetData>
    <row r="1" spans="1:7">
      <c r="A1" s="35" t="s">
        <v>217</v>
      </c>
      <c r="B1" s="35" t="s">
        <v>26</v>
      </c>
      <c r="C1" s="35" t="s">
        <v>294</v>
      </c>
      <c r="D1" s="35" t="s">
        <v>1092</v>
      </c>
      <c r="E1" s="35" t="s">
        <v>63</v>
      </c>
      <c r="F1" s="35" t="s">
        <v>64</v>
      </c>
      <c r="G1" s="35" t="s">
        <v>1093</v>
      </c>
    </row>
    <row r="2" spans="1:7">
      <c r="A2" s="37">
        <v>46225</v>
      </c>
      <c r="B2" s="36" t="s">
        <v>368</v>
      </c>
      <c r="C2" s="36" t="s">
        <v>19</v>
      </c>
      <c r="D2" s="36" t="s">
        <v>1094</v>
      </c>
      <c r="E2" s="36" t="s">
        <v>1095</v>
      </c>
      <c r="F2" s="36" t="s">
        <v>1096</v>
      </c>
      <c r="G2" s="36" t="s">
        <v>884</v>
      </c>
    </row>
    <row r="3" spans="1:7">
      <c r="A3" s="37">
        <v>46225</v>
      </c>
      <c r="B3" s="36" t="s">
        <v>368</v>
      </c>
      <c r="C3" s="36" t="s">
        <v>20</v>
      </c>
      <c r="D3" s="36" t="s">
        <v>38</v>
      </c>
      <c r="E3" s="36" t="s">
        <v>1097</v>
      </c>
      <c r="F3" s="36" t="s">
        <v>1098</v>
      </c>
      <c r="G3" s="36" t="s">
        <v>884</v>
      </c>
    </row>
    <row r="4" spans="1:7">
      <c r="A4" s="37">
        <v>46225</v>
      </c>
      <c r="B4" s="36" t="s">
        <v>368</v>
      </c>
      <c r="C4" s="36" t="s">
        <v>40</v>
      </c>
      <c r="D4" s="36" t="s">
        <v>1099</v>
      </c>
      <c r="E4" s="36" t="s">
        <v>1100</v>
      </c>
      <c r="F4" s="36" t="s">
        <v>1101</v>
      </c>
      <c r="G4" s="36" t="s">
        <v>884</v>
      </c>
    </row>
  </sheetData>
  <pageMargins left="0.75" right="0.75" top="1" bottom="1" header="0.5" footer="0.5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Planilha59">
    <tabColor rgb="FFD4AF37"/>
  </sheetPr>
  <dimension ref="A1:M9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2" width="16" customWidth="1"/>
    <col min="3" max="3" width="28" customWidth="1"/>
    <col min="4" max="4" width="18" customWidth="1"/>
    <col min="5" max="5" width="12" customWidth="1"/>
    <col min="6" max="6" width="8" customWidth="1"/>
    <col min="7" max="8" width="12" customWidth="1"/>
    <col min="9" max="9" width="10" customWidth="1"/>
    <col min="10" max="10" width="14" customWidth="1"/>
    <col min="11" max="11" width="20" customWidth="1"/>
    <col min="12" max="13" width="10" customWidth="1"/>
  </cols>
  <sheetData>
    <row r="1" spans="1:13">
      <c r="A1" s="35" t="s">
        <v>70</v>
      </c>
      <c r="B1" s="35" t="s">
        <v>294</v>
      </c>
      <c r="C1" s="35" t="s">
        <v>429</v>
      </c>
      <c r="D1" s="35" t="s">
        <v>28</v>
      </c>
      <c r="E1" s="35" t="s">
        <v>217</v>
      </c>
      <c r="F1" s="35" t="s">
        <v>26</v>
      </c>
      <c r="G1" s="35" t="s">
        <v>430</v>
      </c>
      <c r="H1" s="35" t="s">
        <v>106</v>
      </c>
      <c r="I1" s="35" t="s">
        <v>1092</v>
      </c>
      <c r="J1" s="35" t="s">
        <v>17</v>
      </c>
      <c r="K1" s="35" t="s">
        <v>223</v>
      </c>
      <c r="L1" s="35" t="s">
        <v>463</v>
      </c>
      <c r="M1" s="35" t="s">
        <v>97</v>
      </c>
    </row>
    <row r="2" spans="1:13">
      <c r="A2" s="36">
        <v>1</v>
      </c>
      <c r="B2" s="36" t="s">
        <v>443</v>
      </c>
      <c r="C2" s="36" t="s">
        <v>1102</v>
      </c>
      <c r="D2" s="36" t="s">
        <v>1103</v>
      </c>
      <c r="E2" s="37">
        <v>46225</v>
      </c>
      <c r="F2" s="36" t="s">
        <v>368</v>
      </c>
      <c r="G2" s="36" t="s">
        <v>906</v>
      </c>
      <c r="H2" s="36" t="s">
        <v>244</v>
      </c>
      <c r="I2" s="36" t="s">
        <v>1104</v>
      </c>
      <c r="J2" s="36" t="s">
        <v>19</v>
      </c>
      <c r="K2" s="36"/>
      <c r="L2" s="36" t="s">
        <v>1105</v>
      </c>
      <c r="M2" s="36">
        <v>1</v>
      </c>
    </row>
    <row r="3" spans="1:13">
      <c r="A3" s="36">
        <v>2</v>
      </c>
      <c r="B3" s="36" t="s">
        <v>278</v>
      </c>
      <c r="C3" s="36" t="s">
        <v>1106</v>
      </c>
      <c r="D3" s="36" t="s">
        <v>1107</v>
      </c>
      <c r="E3" s="37">
        <v>46225</v>
      </c>
      <c r="F3" s="36" t="s">
        <v>1108</v>
      </c>
      <c r="G3" s="36" t="s">
        <v>76</v>
      </c>
      <c r="H3" s="36" t="s">
        <v>244</v>
      </c>
      <c r="I3" s="36" t="s">
        <v>1109</v>
      </c>
      <c r="J3" s="36" t="s">
        <v>1090</v>
      </c>
      <c r="K3" s="36"/>
      <c r="L3" s="36" t="s">
        <v>574</v>
      </c>
      <c r="M3" s="36">
        <v>1</v>
      </c>
    </row>
    <row r="4" spans="1:13">
      <c r="A4" s="36">
        <v>3</v>
      </c>
      <c r="B4" s="36" t="s">
        <v>444</v>
      </c>
      <c r="C4" s="36" t="s">
        <v>1110</v>
      </c>
      <c r="D4" s="36" t="s">
        <v>1111</v>
      </c>
      <c r="E4" s="37">
        <v>46225</v>
      </c>
      <c r="F4" s="36" t="s">
        <v>358</v>
      </c>
      <c r="G4" s="36" t="s">
        <v>906</v>
      </c>
      <c r="H4" s="36" t="s">
        <v>244</v>
      </c>
      <c r="I4" s="36" t="s">
        <v>1112</v>
      </c>
      <c r="J4" s="36" t="s">
        <v>1087</v>
      </c>
      <c r="K4" s="36"/>
      <c r="L4" s="36" t="s">
        <v>574</v>
      </c>
      <c r="M4" s="36">
        <v>2</v>
      </c>
    </row>
    <row r="5" spans="1:13">
      <c r="A5" s="36">
        <v>4</v>
      </c>
      <c r="B5" s="36" t="s">
        <v>256</v>
      </c>
      <c r="C5" s="36" t="s">
        <v>1113</v>
      </c>
      <c r="D5" s="36" t="s">
        <v>1114</v>
      </c>
      <c r="E5" s="37">
        <v>46225</v>
      </c>
      <c r="F5" s="36" t="s">
        <v>1115</v>
      </c>
      <c r="G5" s="36" t="s">
        <v>256</v>
      </c>
      <c r="H5" s="36" t="s">
        <v>244</v>
      </c>
      <c r="I5" s="36" t="s">
        <v>1104</v>
      </c>
      <c r="J5" s="36" t="s">
        <v>21</v>
      </c>
      <c r="K5" s="36"/>
      <c r="L5" s="36" t="s">
        <v>1105</v>
      </c>
      <c r="M5" s="36">
        <v>1</v>
      </c>
    </row>
    <row r="6" spans="1:13">
      <c r="A6" s="36">
        <v>5</v>
      </c>
      <c r="B6" s="36" t="s">
        <v>20</v>
      </c>
      <c r="C6" s="36" t="s">
        <v>1116</v>
      </c>
      <c r="D6" s="36" t="s">
        <v>1117</v>
      </c>
      <c r="E6" s="37">
        <v>46225</v>
      </c>
      <c r="F6" s="36" t="s">
        <v>369</v>
      </c>
      <c r="G6" s="36" t="s">
        <v>20</v>
      </c>
      <c r="H6" s="36" t="s">
        <v>244</v>
      </c>
      <c r="I6" s="36" t="s">
        <v>1109</v>
      </c>
      <c r="J6" s="36" t="s">
        <v>20</v>
      </c>
      <c r="K6" s="36"/>
      <c r="L6" s="36" t="s">
        <v>1105</v>
      </c>
      <c r="M6" s="36">
        <v>1</v>
      </c>
    </row>
    <row r="7" spans="1:13">
      <c r="A7" s="36">
        <v>6</v>
      </c>
      <c r="B7" s="36" t="s">
        <v>446</v>
      </c>
      <c r="C7" s="36" t="s">
        <v>1118</v>
      </c>
      <c r="D7" s="36" t="s">
        <v>1119</v>
      </c>
      <c r="E7" s="37">
        <v>46225</v>
      </c>
      <c r="F7" s="36" t="s">
        <v>1120</v>
      </c>
      <c r="G7" s="36" t="s">
        <v>881</v>
      </c>
      <c r="H7" s="36" t="s">
        <v>244</v>
      </c>
      <c r="I7" s="36" t="s">
        <v>1112</v>
      </c>
      <c r="J7" s="36" t="s">
        <v>1087</v>
      </c>
      <c r="K7" s="36"/>
      <c r="L7" s="36" t="s">
        <v>1105</v>
      </c>
      <c r="M7" s="36">
        <v>2</v>
      </c>
    </row>
    <row r="8" spans="1:13">
      <c r="A8" s="36">
        <v>7</v>
      </c>
      <c r="B8" s="36" t="s">
        <v>443</v>
      </c>
      <c r="C8" s="36" t="s">
        <v>1121</v>
      </c>
      <c r="D8" s="36" t="s">
        <v>1122</v>
      </c>
      <c r="E8" s="37">
        <v>46230</v>
      </c>
      <c r="F8" s="36" t="s">
        <v>368</v>
      </c>
      <c r="G8" s="36" t="s">
        <v>19</v>
      </c>
      <c r="H8" s="36" t="s">
        <v>244</v>
      </c>
      <c r="I8" s="36" t="s">
        <v>1109</v>
      </c>
      <c r="J8" s="36" t="s">
        <v>19</v>
      </c>
      <c r="K8" s="36"/>
      <c r="L8" s="36" t="s">
        <v>1105</v>
      </c>
      <c r="M8" s="36">
        <v>1</v>
      </c>
    </row>
    <row r="9" spans="1:13">
      <c r="A9" s="36">
        <v>8</v>
      </c>
      <c r="B9" s="36" t="s">
        <v>445</v>
      </c>
      <c r="C9" s="36" t="s">
        <v>1123</v>
      </c>
      <c r="D9" s="36" t="s">
        <v>1124</v>
      </c>
      <c r="E9" s="37">
        <v>46255</v>
      </c>
      <c r="F9" s="36" t="s">
        <v>369</v>
      </c>
      <c r="G9" s="36" t="s">
        <v>906</v>
      </c>
      <c r="H9" s="36" t="s">
        <v>244</v>
      </c>
      <c r="I9" s="36" t="s">
        <v>1109</v>
      </c>
      <c r="J9" s="36" t="s">
        <v>1087</v>
      </c>
      <c r="K9" s="36"/>
      <c r="L9" s="36" t="s">
        <v>1105</v>
      </c>
      <c r="M9" s="36">
        <v>2</v>
      </c>
    </row>
  </sheetData>
  <pageMargins left="0.75" right="0.75" top="1" bottom="1" header="0.5" footer="0.5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Planilha60">
    <tabColor rgb="FFD4AF37"/>
  </sheetPr>
  <dimension ref="A1:F9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22" customWidth="1"/>
    <col min="2" max="2" width="8" customWidth="1"/>
    <col min="3" max="3" width="12" customWidth="1"/>
    <col min="4" max="4" width="8" customWidth="1"/>
    <col min="5" max="5" width="18" customWidth="1"/>
    <col min="6" max="6" width="14" customWidth="1"/>
  </cols>
  <sheetData>
    <row r="1" spans="1:6">
      <c r="A1" s="35" t="s">
        <v>294</v>
      </c>
      <c r="B1" s="35" t="s">
        <v>15</v>
      </c>
      <c r="C1" s="35" t="s">
        <v>1125</v>
      </c>
      <c r="D1" s="35" t="s">
        <v>1126</v>
      </c>
      <c r="E1" s="35" t="s">
        <v>64</v>
      </c>
      <c r="F1" s="35" t="s">
        <v>1127</v>
      </c>
    </row>
    <row r="2" spans="1:6">
      <c r="A2" s="36" t="s">
        <v>1128</v>
      </c>
      <c r="B2" s="36">
        <v>100</v>
      </c>
      <c r="C2" s="36" t="s">
        <v>1129</v>
      </c>
      <c r="D2" s="36" t="s">
        <v>1094</v>
      </c>
      <c r="E2" s="36" t="s">
        <v>1096</v>
      </c>
      <c r="F2" s="36" t="s">
        <v>187</v>
      </c>
    </row>
    <row r="3" spans="1:6">
      <c r="A3" s="36" t="s">
        <v>1130</v>
      </c>
      <c r="B3" s="36">
        <v>95</v>
      </c>
      <c r="C3" s="36" t="s">
        <v>1129</v>
      </c>
      <c r="D3" s="36" t="s">
        <v>1094</v>
      </c>
      <c r="E3" s="36" t="s">
        <v>1131</v>
      </c>
      <c r="F3" s="36" t="s">
        <v>256</v>
      </c>
    </row>
    <row r="4" spans="1:6">
      <c r="A4" s="36" t="s">
        <v>1132</v>
      </c>
      <c r="B4" s="36">
        <v>90</v>
      </c>
      <c r="C4" s="36" t="s">
        <v>1104</v>
      </c>
      <c r="D4" s="36" t="s">
        <v>1133</v>
      </c>
      <c r="E4" s="36" t="s">
        <v>1098</v>
      </c>
      <c r="F4" s="36" t="s">
        <v>413</v>
      </c>
    </row>
    <row r="5" spans="1:6">
      <c r="A5" s="36" t="s">
        <v>1134</v>
      </c>
      <c r="B5" s="36">
        <v>70</v>
      </c>
      <c r="C5" s="36" t="s">
        <v>1109</v>
      </c>
      <c r="D5" s="36" t="s">
        <v>38</v>
      </c>
      <c r="E5" s="36" t="s">
        <v>1135</v>
      </c>
      <c r="F5" s="36" t="s">
        <v>445</v>
      </c>
    </row>
    <row r="6" spans="1:6">
      <c r="A6" s="36" t="s">
        <v>1136</v>
      </c>
      <c r="B6" s="36">
        <v>60</v>
      </c>
      <c r="C6" s="36" t="s">
        <v>1137</v>
      </c>
      <c r="D6" s="36" t="s">
        <v>1099</v>
      </c>
      <c r="E6" s="36" t="s">
        <v>1138</v>
      </c>
      <c r="F6" s="36" t="s">
        <v>1139</v>
      </c>
    </row>
    <row r="7" spans="1:6">
      <c r="A7" s="36" t="s">
        <v>1110</v>
      </c>
      <c r="B7" s="36">
        <v>50</v>
      </c>
      <c r="C7" s="36" t="s">
        <v>1137</v>
      </c>
      <c r="D7" s="36" t="s">
        <v>1099</v>
      </c>
      <c r="E7" s="36" t="s">
        <v>1138</v>
      </c>
      <c r="F7" s="36" t="s">
        <v>1140</v>
      </c>
    </row>
    <row r="8" spans="1:6">
      <c r="A8" s="36" t="s">
        <v>1141</v>
      </c>
      <c r="B8" s="36">
        <v>55</v>
      </c>
      <c r="C8" s="36" t="s">
        <v>1112</v>
      </c>
      <c r="D8" s="36" t="s">
        <v>1142</v>
      </c>
      <c r="E8" s="36" t="s">
        <v>1096</v>
      </c>
      <c r="F8" s="36" t="s">
        <v>244</v>
      </c>
    </row>
    <row r="9" spans="1:6">
      <c r="A9" s="36" t="s">
        <v>446</v>
      </c>
      <c r="B9" s="36">
        <v>40</v>
      </c>
      <c r="C9" s="36" t="s">
        <v>1137</v>
      </c>
      <c r="D9" s="36" t="s">
        <v>1099</v>
      </c>
      <c r="E9" s="36" t="s">
        <v>1138</v>
      </c>
      <c r="F9" s="36" t="s">
        <v>446</v>
      </c>
    </row>
  </sheetData>
  <pageMargins left="0.75" right="0.75" top="1" bottom="1" header="0.5" footer="0.5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Planilha61">
    <tabColor rgb="FFD4AF37"/>
  </sheetPr>
  <dimension ref="A1:N12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2" width="22" customWidth="1"/>
    <col min="3" max="3" width="16" customWidth="1"/>
    <col min="4" max="4" width="22" customWidth="1"/>
    <col min="5" max="5" width="12" customWidth="1"/>
    <col min="6" max="6" width="14" customWidth="1"/>
    <col min="7" max="9" width="12" customWidth="1"/>
    <col min="10" max="10" width="28" customWidth="1"/>
    <col min="11" max="11" width="16" customWidth="1"/>
    <col min="12" max="12" width="12" customWidth="1"/>
    <col min="13" max="13" width="16" customWidth="1"/>
    <col min="14" max="14" width="10" customWidth="1"/>
  </cols>
  <sheetData>
    <row r="1" spans="1:14" ht="28.8">
      <c r="A1" s="35" t="s">
        <v>70</v>
      </c>
      <c r="B1" s="35" t="s">
        <v>98</v>
      </c>
      <c r="C1" s="35" t="s">
        <v>101</v>
      </c>
      <c r="D1" s="35" t="s">
        <v>84</v>
      </c>
      <c r="E1" s="35" t="s">
        <v>463</v>
      </c>
      <c r="F1" s="35" t="s">
        <v>464</v>
      </c>
      <c r="G1" s="35" t="s">
        <v>1143</v>
      </c>
      <c r="H1" s="35" t="s">
        <v>430</v>
      </c>
      <c r="I1" s="35" t="s">
        <v>106</v>
      </c>
      <c r="J1" s="35" t="s">
        <v>320</v>
      </c>
      <c r="K1" s="35" t="s">
        <v>465</v>
      </c>
      <c r="L1" s="35" t="s">
        <v>1144</v>
      </c>
      <c r="M1" s="35" t="s">
        <v>73</v>
      </c>
      <c r="N1" s="35" t="s">
        <v>97</v>
      </c>
    </row>
    <row r="2" spans="1:14">
      <c r="A2" s="36">
        <v>1</v>
      </c>
      <c r="B2" s="36" t="s">
        <v>1145</v>
      </c>
      <c r="C2" s="74" t="s">
        <v>265</v>
      </c>
      <c r="D2" s="74" t="s">
        <v>1146</v>
      </c>
      <c r="E2" s="36" t="s">
        <v>1147</v>
      </c>
      <c r="F2" s="36" t="s">
        <v>266</v>
      </c>
      <c r="G2" s="37">
        <v>46217</v>
      </c>
      <c r="H2" s="36" t="s">
        <v>1148</v>
      </c>
      <c r="I2" s="36" t="s">
        <v>1149</v>
      </c>
      <c r="J2" s="36" t="s">
        <v>1150</v>
      </c>
      <c r="K2" s="36" t="s">
        <v>1151</v>
      </c>
      <c r="L2" s="37">
        <v>46225</v>
      </c>
      <c r="M2" s="74"/>
      <c r="N2" s="36">
        <v>1</v>
      </c>
    </row>
    <row r="3" spans="1:14">
      <c r="A3" s="36">
        <v>2</v>
      </c>
      <c r="B3" s="36" t="s">
        <v>1152</v>
      </c>
      <c r="C3" s="74" t="s">
        <v>1153</v>
      </c>
      <c r="D3" s="74" t="s">
        <v>1154</v>
      </c>
      <c r="E3" s="36" t="s">
        <v>1155</v>
      </c>
      <c r="F3" s="36" t="s">
        <v>270</v>
      </c>
      <c r="G3" s="37">
        <v>46219</v>
      </c>
      <c r="H3" s="36" t="s">
        <v>1156</v>
      </c>
      <c r="I3" s="36" t="s">
        <v>1157</v>
      </c>
      <c r="J3" s="36" t="s">
        <v>1158</v>
      </c>
      <c r="K3" s="36" t="s">
        <v>1159</v>
      </c>
      <c r="L3" s="37">
        <v>46225</v>
      </c>
      <c r="M3" s="74"/>
      <c r="N3" s="36">
        <v>1</v>
      </c>
    </row>
    <row r="4" spans="1:14">
      <c r="A4" s="36">
        <v>3</v>
      </c>
      <c r="B4" s="36" t="s">
        <v>1160</v>
      </c>
      <c r="C4" s="74" t="s">
        <v>1161</v>
      </c>
      <c r="D4" s="74" t="s">
        <v>1162</v>
      </c>
      <c r="E4" s="36" t="s">
        <v>1163</v>
      </c>
      <c r="F4" s="36" t="s">
        <v>159</v>
      </c>
      <c r="G4" s="37">
        <v>46220</v>
      </c>
      <c r="H4" s="36" t="s">
        <v>1148</v>
      </c>
      <c r="I4" s="36" t="s">
        <v>1164</v>
      </c>
      <c r="J4" s="36" t="s">
        <v>1165</v>
      </c>
      <c r="K4" s="36" t="s">
        <v>1110</v>
      </c>
      <c r="L4" s="37">
        <v>46225</v>
      </c>
      <c r="M4" s="74"/>
      <c r="N4" s="36">
        <v>2</v>
      </c>
    </row>
    <row r="5" spans="1:14">
      <c r="A5" s="36">
        <v>4</v>
      </c>
      <c r="B5" s="36" t="s">
        <v>1166</v>
      </c>
      <c r="C5" s="74" t="s">
        <v>1167</v>
      </c>
      <c r="D5" s="74" t="s">
        <v>1168</v>
      </c>
      <c r="E5" s="36" t="s">
        <v>1147</v>
      </c>
      <c r="F5" s="36" t="s">
        <v>266</v>
      </c>
      <c r="G5" s="37">
        <v>46213</v>
      </c>
      <c r="H5" s="36" t="s">
        <v>1169</v>
      </c>
      <c r="I5" s="36" t="s">
        <v>1170</v>
      </c>
      <c r="J5" s="36" t="s">
        <v>1171</v>
      </c>
      <c r="K5" s="36"/>
      <c r="L5" s="36"/>
      <c r="M5" s="74" t="s">
        <v>107</v>
      </c>
      <c r="N5" s="36">
        <v>1</v>
      </c>
    </row>
    <row r="6" spans="1:14">
      <c r="A6" s="36">
        <v>5</v>
      </c>
      <c r="B6" s="36" t="s">
        <v>122</v>
      </c>
      <c r="C6" s="74" t="s">
        <v>1172</v>
      </c>
      <c r="D6" s="74" t="s">
        <v>127</v>
      </c>
      <c r="E6" s="36" t="s">
        <v>1173</v>
      </c>
      <c r="F6" s="36" t="s">
        <v>266</v>
      </c>
      <c r="G6" s="37">
        <v>46221</v>
      </c>
      <c r="H6" s="36" t="s">
        <v>1156</v>
      </c>
      <c r="I6" s="36" t="s">
        <v>1157</v>
      </c>
      <c r="J6" s="36" t="s">
        <v>1174</v>
      </c>
      <c r="K6" s="36" t="s">
        <v>1175</v>
      </c>
      <c r="L6" s="37">
        <v>46225</v>
      </c>
      <c r="M6" s="74"/>
      <c r="N6" s="36">
        <v>1</v>
      </c>
    </row>
    <row r="7" spans="1:14">
      <c r="A7" s="36">
        <v>6</v>
      </c>
      <c r="B7" s="36" t="s">
        <v>1176</v>
      </c>
      <c r="C7" s="74" t="s">
        <v>1177</v>
      </c>
      <c r="D7" s="74" t="s">
        <v>1178</v>
      </c>
      <c r="E7" s="36" t="s">
        <v>1179</v>
      </c>
      <c r="F7" s="36" t="s">
        <v>270</v>
      </c>
      <c r="G7" s="37">
        <v>46215</v>
      </c>
      <c r="H7" s="36" t="s">
        <v>1148</v>
      </c>
      <c r="I7" s="36" t="s">
        <v>1180</v>
      </c>
      <c r="J7" s="36" t="s">
        <v>1181</v>
      </c>
      <c r="K7" s="36"/>
      <c r="L7" s="36"/>
      <c r="M7" s="74"/>
      <c r="N7" s="36">
        <v>2</v>
      </c>
    </row>
    <row r="8" spans="1:14">
      <c r="A8" s="36">
        <v>7</v>
      </c>
      <c r="B8" s="36" t="s">
        <v>1182</v>
      </c>
      <c r="C8" s="74" t="s">
        <v>1183</v>
      </c>
      <c r="D8" s="74" t="s">
        <v>1184</v>
      </c>
      <c r="E8" s="36" t="s">
        <v>1147</v>
      </c>
      <c r="F8" s="36" t="s">
        <v>266</v>
      </c>
      <c r="G8" s="37">
        <v>46223</v>
      </c>
      <c r="H8" s="36" t="s">
        <v>1169</v>
      </c>
      <c r="I8" s="36" t="s">
        <v>1149</v>
      </c>
      <c r="J8" s="36" t="s">
        <v>1185</v>
      </c>
      <c r="K8" s="36" t="s">
        <v>1151</v>
      </c>
      <c r="L8" s="37">
        <v>46225</v>
      </c>
      <c r="M8" s="74"/>
      <c r="N8" s="36">
        <v>1</v>
      </c>
    </row>
    <row r="9" spans="1:14">
      <c r="A9" s="36">
        <v>8</v>
      </c>
      <c r="B9" s="36" t="s">
        <v>1186</v>
      </c>
      <c r="C9" s="74" t="s">
        <v>1187</v>
      </c>
      <c r="D9" s="74" t="s">
        <v>1188</v>
      </c>
      <c r="E9" s="36" t="s">
        <v>1155</v>
      </c>
      <c r="F9" s="36" t="s">
        <v>1063</v>
      </c>
      <c r="G9" s="37">
        <v>46222</v>
      </c>
      <c r="H9" s="36" t="s">
        <v>1156</v>
      </c>
      <c r="I9" s="36" t="s">
        <v>1164</v>
      </c>
      <c r="J9" s="36" t="s">
        <v>1189</v>
      </c>
      <c r="K9" s="36" t="s">
        <v>1159</v>
      </c>
      <c r="L9" s="37">
        <v>46225</v>
      </c>
      <c r="M9" s="74"/>
      <c r="N9" s="36">
        <v>2</v>
      </c>
    </row>
    <row r="10" spans="1:14">
      <c r="A10" s="36">
        <v>9</v>
      </c>
      <c r="B10" s="36" t="s">
        <v>1190</v>
      </c>
      <c r="C10" s="74" t="s">
        <v>1191</v>
      </c>
      <c r="D10" s="74" t="s">
        <v>1192</v>
      </c>
      <c r="E10" s="36" t="s">
        <v>1163</v>
      </c>
      <c r="F10" s="36" t="s">
        <v>266</v>
      </c>
      <c r="G10" s="37">
        <v>46210</v>
      </c>
      <c r="H10" s="36" t="s">
        <v>1148</v>
      </c>
      <c r="I10" s="36" t="s">
        <v>1157</v>
      </c>
      <c r="J10" s="36" t="s">
        <v>1193</v>
      </c>
      <c r="K10" s="36" t="s">
        <v>1194</v>
      </c>
      <c r="L10" s="37">
        <v>46225</v>
      </c>
      <c r="M10" s="74"/>
      <c r="N10" s="36">
        <v>1</v>
      </c>
    </row>
    <row r="11" spans="1:14">
      <c r="A11" s="36">
        <v>10</v>
      </c>
      <c r="B11" s="36" t="s">
        <v>1195</v>
      </c>
      <c r="C11" s="74" t="s">
        <v>1196</v>
      </c>
      <c r="D11" s="74" t="s">
        <v>1197</v>
      </c>
      <c r="E11" s="36" t="s">
        <v>1147</v>
      </c>
      <c r="F11" s="36" t="s">
        <v>159</v>
      </c>
      <c r="G11" s="37">
        <v>46224</v>
      </c>
      <c r="H11" s="36" t="s">
        <v>1169</v>
      </c>
      <c r="I11" s="36" t="s">
        <v>1149</v>
      </c>
      <c r="J11" s="36" t="s">
        <v>1198</v>
      </c>
      <c r="K11" s="36" t="s">
        <v>1151</v>
      </c>
      <c r="L11" s="37">
        <v>46225</v>
      </c>
      <c r="M11" s="74"/>
      <c r="N11" s="36">
        <v>2</v>
      </c>
    </row>
    <row r="12" spans="1:14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</row>
  </sheetData>
  <pageMargins left="0.75" right="0.75" top="1" bottom="1" header="0.5" footer="0.5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Planilha62">
    <tabColor rgb="FFD4AF37"/>
  </sheetPr>
  <dimension ref="A1:G12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2" width="8" customWidth="1"/>
    <col min="3" max="3" width="12" customWidth="1"/>
    <col min="4" max="4" width="8" customWidth="1"/>
    <col min="5" max="5" width="16" customWidth="1"/>
    <col min="6" max="6" width="36" customWidth="1"/>
    <col min="7" max="7" width="12" customWidth="1"/>
  </cols>
  <sheetData>
    <row r="1" spans="1:7">
      <c r="A1" s="35" t="s">
        <v>70</v>
      </c>
      <c r="B1" s="35" t="s">
        <v>1199</v>
      </c>
      <c r="C1" s="35" t="s">
        <v>217</v>
      </c>
      <c r="D1" s="35" t="s">
        <v>26</v>
      </c>
      <c r="E1" s="35" t="s">
        <v>294</v>
      </c>
      <c r="F1" s="35" t="s">
        <v>238</v>
      </c>
      <c r="G1" s="35" t="s">
        <v>898</v>
      </c>
    </row>
    <row r="2" spans="1:7">
      <c r="A2" s="36">
        <v>1</v>
      </c>
      <c r="B2" s="36">
        <v>1</v>
      </c>
      <c r="C2" s="37">
        <v>46217</v>
      </c>
      <c r="D2" s="36" t="s">
        <v>369</v>
      </c>
      <c r="E2" s="36" t="s">
        <v>1200</v>
      </c>
      <c r="F2" s="36" t="s">
        <v>1201</v>
      </c>
      <c r="G2" s="36" t="s">
        <v>620</v>
      </c>
    </row>
    <row r="3" spans="1:7">
      <c r="A3" s="36">
        <v>2</v>
      </c>
      <c r="B3" s="36">
        <v>2</v>
      </c>
      <c r="C3" s="37">
        <v>46219</v>
      </c>
      <c r="D3" s="36" t="s">
        <v>1202</v>
      </c>
      <c r="E3" s="36" t="s">
        <v>1200</v>
      </c>
      <c r="F3" s="36" t="s">
        <v>1203</v>
      </c>
      <c r="G3" s="36" t="s">
        <v>620</v>
      </c>
    </row>
    <row r="4" spans="1:7">
      <c r="A4" s="36">
        <v>3</v>
      </c>
      <c r="B4" s="36">
        <v>2</v>
      </c>
      <c r="C4" s="37">
        <v>46220</v>
      </c>
      <c r="D4" s="36" t="s">
        <v>1204</v>
      </c>
      <c r="E4" s="36" t="s">
        <v>1205</v>
      </c>
      <c r="F4" s="36" t="s">
        <v>1206</v>
      </c>
      <c r="G4" s="36" t="s">
        <v>1156</v>
      </c>
    </row>
    <row r="5" spans="1:7">
      <c r="A5" s="36">
        <v>4</v>
      </c>
      <c r="B5" s="36">
        <v>3</v>
      </c>
      <c r="C5" s="37">
        <v>46220</v>
      </c>
      <c r="D5" s="36" t="s">
        <v>1207</v>
      </c>
      <c r="E5" s="36" t="s">
        <v>1200</v>
      </c>
      <c r="F5" s="36" t="s">
        <v>1208</v>
      </c>
      <c r="G5" s="36" t="s">
        <v>620</v>
      </c>
    </row>
    <row r="6" spans="1:7">
      <c r="A6" s="36">
        <v>5</v>
      </c>
      <c r="B6" s="36">
        <v>3</v>
      </c>
      <c r="C6" s="37">
        <v>46221</v>
      </c>
      <c r="D6" s="36" t="s">
        <v>1209</v>
      </c>
      <c r="E6" s="36" t="s">
        <v>1210</v>
      </c>
      <c r="F6" s="36" t="s">
        <v>1211</v>
      </c>
      <c r="G6" s="36" t="s">
        <v>1148</v>
      </c>
    </row>
    <row r="7" spans="1:7">
      <c r="A7" s="36">
        <v>6</v>
      </c>
      <c r="B7" s="36">
        <v>4</v>
      </c>
      <c r="C7" s="37">
        <v>46213</v>
      </c>
      <c r="D7" s="36" t="s">
        <v>1212</v>
      </c>
      <c r="E7" s="36" t="s">
        <v>1200</v>
      </c>
      <c r="F7" s="36" t="s">
        <v>1213</v>
      </c>
      <c r="G7" s="36" t="s">
        <v>620</v>
      </c>
    </row>
    <row r="8" spans="1:7">
      <c r="A8" s="36">
        <v>7</v>
      </c>
      <c r="B8" s="36">
        <v>4</v>
      </c>
      <c r="C8" s="37">
        <v>46215</v>
      </c>
      <c r="D8" s="36" t="s">
        <v>1214</v>
      </c>
      <c r="E8" s="36" t="s">
        <v>444</v>
      </c>
      <c r="F8" s="36" t="s">
        <v>1215</v>
      </c>
      <c r="G8" s="36" t="s">
        <v>1169</v>
      </c>
    </row>
    <row r="9" spans="1:7">
      <c r="A9" s="36">
        <v>8</v>
      </c>
      <c r="B9" s="36">
        <v>4</v>
      </c>
      <c r="C9" s="37">
        <v>46216</v>
      </c>
      <c r="D9" s="36" t="s">
        <v>1216</v>
      </c>
      <c r="E9" s="36" t="s">
        <v>73</v>
      </c>
      <c r="F9" s="36" t="s">
        <v>1217</v>
      </c>
      <c r="G9" s="36" t="s">
        <v>1169</v>
      </c>
    </row>
    <row r="10" spans="1:7">
      <c r="A10" s="36">
        <v>9</v>
      </c>
      <c r="B10" s="36">
        <v>5</v>
      </c>
      <c r="C10" s="37">
        <v>46221</v>
      </c>
      <c r="D10" s="36" t="s">
        <v>1218</v>
      </c>
      <c r="E10" s="36" t="s">
        <v>1200</v>
      </c>
      <c r="F10" s="36" t="s">
        <v>1219</v>
      </c>
      <c r="G10" s="36" t="s">
        <v>620</v>
      </c>
    </row>
    <row r="11" spans="1:7">
      <c r="A11" s="36">
        <v>10</v>
      </c>
      <c r="B11" s="36">
        <v>5</v>
      </c>
      <c r="C11" s="37">
        <v>46222</v>
      </c>
      <c r="D11" s="36" t="s">
        <v>1207</v>
      </c>
      <c r="E11" s="36" t="s">
        <v>1205</v>
      </c>
      <c r="F11" s="36" t="s">
        <v>1220</v>
      </c>
      <c r="G11" s="36" t="s">
        <v>1156</v>
      </c>
    </row>
    <row r="12" spans="1:7">
      <c r="A12" s="39"/>
      <c r="B12" s="39"/>
      <c r="C12" s="39"/>
      <c r="D12" s="39"/>
      <c r="E12" s="39"/>
      <c r="F12" s="39"/>
      <c r="G12" s="39"/>
    </row>
  </sheetData>
  <pageMargins left="0.75" right="0.75" top="1" bottom="1" header="0.5" footer="0.5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Planilha63">
    <tabColor rgb="FFD4AF37"/>
  </sheetPr>
  <dimension ref="A1:F5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16" customWidth="1"/>
    <col min="2" max="2" width="20" customWidth="1"/>
    <col min="3" max="3" width="16" customWidth="1"/>
    <col min="4" max="5" width="12" customWidth="1"/>
    <col min="6" max="6" width="16" customWidth="1"/>
  </cols>
  <sheetData>
    <row r="1" spans="1:6">
      <c r="A1" s="35" t="s">
        <v>73</v>
      </c>
      <c r="B1" s="35" t="s">
        <v>98</v>
      </c>
      <c r="C1" s="35" t="s">
        <v>468</v>
      </c>
      <c r="D1" s="35" t="s">
        <v>217</v>
      </c>
      <c r="E1" s="35" t="s">
        <v>430</v>
      </c>
      <c r="F1" s="35" t="s">
        <v>106</v>
      </c>
    </row>
    <row r="2" spans="1:6">
      <c r="A2" s="36" t="s">
        <v>1221</v>
      </c>
      <c r="B2" s="36" t="s">
        <v>1222</v>
      </c>
      <c r="C2" s="36" t="s">
        <v>19</v>
      </c>
      <c r="D2" s="37">
        <v>46205</v>
      </c>
      <c r="E2" s="36" t="s">
        <v>1156</v>
      </c>
      <c r="F2" s="36" t="s">
        <v>1223</v>
      </c>
    </row>
    <row r="3" spans="1:6">
      <c r="A3" s="36" t="s">
        <v>1224</v>
      </c>
      <c r="B3" s="36" t="s">
        <v>1225</v>
      </c>
      <c r="C3" s="36" t="s">
        <v>1226</v>
      </c>
      <c r="D3" s="37">
        <v>46213</v>
      </c>
      <c r="E3" s="36" t="s">
        <v>1148</v>
      </c>
      <c r="F3" s="36" t="s">
        <v>1227</v>
      </c>
    </row>
    <row r="4" spans="1:6">
      <c r="A4" s="36" t="s">
        <v>1228</v>
      </c>
      <c r="B4" s="36" t="s">
        <v>1229</v>
      </c>
      <c r="C4" s="36" t="s">
        <v>1230</v>
      </c>
      <c r="D4" s="37">
        <v>46220</v>
      </c>
      <c r="E4" s="36" t="s">
        <v>1169</v>
      </c>
      <c r="F4" s="36" t="s">
        <v>1223</v>
      </c>
    </row>
    <row r="5" spans="1:6">
      <c r="A5" s="39"/>
      <c r="B5" s="39"/>
      <c r="C5" s="39"/>
      <c r="D5" s="39"/>
      <c r="E5" s="39"/>
      <c r="F5" s="39"/>
    </row>
  </sheetData>
  <pageMargins left="0.75" right="0.75" top="1" bottom="1" header="0.5" footer="0.5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Planilha64">
    <tabColor rgb="FFD4AF37"/>
  </sheetPr>
  <dimension ref="A1:G6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2" width="18" customWidth="1"/>
    <col min="3" max="3" width="20" customWidth="1"/>
    <col min="4" max="5" width="12" customWidth="1"/>
    <col min="6" max="6" width="14" customWidth="1"/>
    <col min="7" max="7" width="12" customWidth="1"/>
  </cols>
  <sheetData>
    <row r="1" spans="1:7">
      <c r="A1" s="35" t="s">
        <v>70</v>
      </c>
      <c r="B1" s="35" t="s">
        <v>98</v>
      </c>
      <c r="C1" s="35" t="s">
        <v>482</v>
      </c>
      <c r="D1" s="35" t="s">
        <v>1231</v>
      </c>
      <c r="E1" s="35" t="s">
        <v>1232</v>
      </c>
      <c r="F1" s="35" t="s">
        <v>483</v>
      </c>
      <c r="G1" s="35" t="s">
        <v>106</v>
      </c>
    </row>
    <row r="2" spans="1:7">
      <c r="A2" s="36">
        <v>1</v>
      </c>
      <c r="B2" s="36" t="s">
        <v>1233</v>
      </c>
      <c r="C2" s="36" t="s">
        <v>1234</v>
      </c>
      <c r="D2" s="37">
        <v>46215</v>
      </c>
      <c r="E2" s="37">
        <v>46245</v>
      </c>
      <c r="F2" s="36" t="s">
        <v>1235</v>
      </c>
      <c r="G2" s="36" t="s">
        <v>796</v>
      </c>
    </row>
    <row r="3" spans="1:7">
      <c r="A3" s="36">
        <v>2</v>
      </c>
      <c r="B3" s="36" t="s">
        <v>1236</v>
      </c>
      <c r="C3" s="36" t="s">
        <v>1237</v>
      </c>
      <c r="D3" s="37">
        <v>46220</v>
      </c>
      <c r="E3" s="37">
        <v>46230</v>
      </c>
      <c r="F3" s="36" t="s">
        <v>1238</v>
      </c>
      <c r="G3" s="36" t="s">
        <v>796</v>
      </c>
    </row>
    <row r="4" spans="1:7">
      <c r="A4" s="36">
        <v>3</v>
      </c>
      <c r="B4" s="36" t="s">
        <v>1239</v>
      </c>
      <c r="C4" s="36" t="s">
        <v>476</v>
      </c>
      <c r="D4" s="37">
        <v>46185</v>
      </c>
      <c r="E4" s="37">
        <v>46215</v>
      </c>
      <c r="F4" s="36" t="s">
        <v>1240</v>
      </c>
      <c r="G4" s="36" t="s">
        <v>1241</v>
      </c>
    </row>
    <row r="5" spans="1:7">
      <c r="A5" s="36">
        <v>4</v>
      </c>
      <c r="B5" s="36" t="s">
        <v>1242</v>
      </c>
      <c r="C5" s="36" t="s">
        <v>808</v>
      </c>
      <c r="D5" s="37">
        <v>46210</v>
      </c>
      <c r="E5" s="37">
        <v>46270</v>
      </c>
      <c r="F5" s="36" t="s">
        <v>1243</v>
      </c>
      <c r="G5" s="36" t="s">
        <v>796</v>
      </c>
    </row>
    <row r="6" spans="1:7">
      <c r="A6" s="39"/>
      <c r="B6" s="39"/>
      <c r="C6" s="39"/>
      <c r="D6" s="39"/>
      <c r="E6" s="39"/>
      <c r="F6" s="39"/>
      <c r="G6" s="39"/>
    </row>
  </sheetData>
  <pageMargins left="0.75" right="0.75" top="1" bottom="1" header="0.5" footer="0.5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Planilha65">
    <tabColor rgb="FFD4AF37"/>
  </sheetPr>
  <dimension ref="A1:H5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2" width="20" customWidth="1"/>
    <col min="3" max="3" width="16" customWidth="1"/>
    <col min="4" max="4" width="20" customWidth="1"/>
    <col min="5" max="5" width="16" customWidth="1"/>
    <col min="6" max="6" width="12" customWidth="1"/>
    <col min="7" max="7" width="10" customWidth="1"/>
    <col min="8" max="8" width="12" customWidth="1"/>
  </cols>
  <sheetData>
    <row r="1" spans="1:8" ht="28.8">
      <c r="A1" s="35" t="s">
        <v>70</v>
      </c>
      <c r="B1" s="35" t="s">
        <v>177</v>
      </c>
      <c r="C1" s="35" t="s">
        <v>1244</v>
      </c>
      <c r="D1" s="35" t="s">
        <v>1245</v>
      </c>
      <c r="E1" s="35" t="s">
        <v>1246</v>
      </c>
      <c r="F1" s="35" t="s">
        <v>106</v>
      </c>
      <c r="G1" s="35" t="s">
        <v>1247</v>
      </c>
      <c r="H1" s="35" t="s">
        <v>217</v>
      </c>
    </row>
    <row r="2" spans="1:8">
      <c r="A2" s="36">
        <v>1</v>
      </c>
      <c r="B2" s="36" t="s">
        <v>1166</v>
      </c>
      <c r="C2" s="36" t="s">
        <v>107</v>
      </c>
      <c r="D2" s="36" t="s">
        <v>1152</v>
      </c>
      <c r="E2" s="36" t="s">
        <v>1153</v>
      </c>
      <c r="F2" s="36" t="s">
        <v>244</v>
      </c>
      <c r="G2" s="38">
        <v>50</v>
      </c>
      <c r="H2" s="37">
        <v>46219</v>
      </c>
    </row>
    <row r="3" spans="1:8">
      <c r="A3" s="36">
        <v>2</v>
      </c>
      <c r="B3" s="36" t="s">
        <v>1166</v>
      </c>
      <c r="C3" s="36" t="s">
        <v>107</v>
      </c>
      <c r="D3" s="36" t="s">
        <v>1186</v>
      </c>
      <c r="E3" s="36" t="s">
        <v>1187</v>
      </c>
      <c r="F3" s="36" t="s">
        <v>244</v>
      </c>
      <c r="G3" s="38">
        <v>50</v>
      </c>
      <c r="H3" s="37">
        <v>46222</v>
      </c>
    </row>
    <row r="4" spans="1:8">
      <c r="A4" s="36">
        <v>3</v>
      </c>
      <c r="B4" s="36" t="s">
        <v>1248</v>
      </c>
      <c r="C4" s="36" t="s">
        <v>1249</v>
      </c>
      <c r="D4" s="36" t="s">
        <v>1182</v>
      </c>
      <c r="E4" s="36" t="s">
        <v>1183</v>
      </c>
      <c r="F4" s="36" t="s">
        <v>1170</v>
      </c>
      <c r="G4" s="38">
        <v>50</v>
      </c>
      <c r="H4" s="37">
        <v>46205</v>
      </c>
    </row>
    <row r="5" spans="1:8">
      <c r="A5" s="39"/>
      <c r="B5" s="39"/>
      <c r="C5" s="39"/>
      <c r="D5" s="39"/>
      <c r="E5" s="39"/>
      <c r="F5" s="39"/>
      <c r="G5" s="39"/>
      <c r="H5" s="39"/>
    </row>
  </sheetData>
  <pageMargins left="0.75" right="0.75" top="1" bottom="1" header="0.5" footer="0.5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Planilha66">
    <tabColor rgb="FFD4AF37"/>
  </sheetPr>
  <dimension ref="A1:M8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2" width="16" customWidth="1"/>
    <col min="3" max="3" width="22" customWidth="1"/>
    <col min="4" max="4" width="12" customWidth="1"/>
    <col min="5" max="5" width="16" customWidth="1"/>
    <col min="6" max="8" width="8" customWidth="1"/>
    <col min="9" max="9" width="12" customWidth="1"/>
    <col min="10" max="11" width="10" customWidth="1"/>
    <col min="12" max="12" width="14" customWidth="1"/>
    <col min="13" max="13" width="24" customWidth="1"/>
  </cols>
  <sheetData>
    <row r="1" spans="1:13" ht="28.8">
      <c r="A1" s="35" t="s">
        <v>70</v>
      </c>
      <c r="B1" s="35" t="s">
        <v>73</v>
      </c>
      <c r="C1" s="35" t="s">
        <v>98</v>
      </c>
      <c r="D1" s="35" t="s">
        <v>217</v>
      </c>
      <c r="E1" s="35" t="s">
        <v>76</v>
      </c>
      <c r="F1" s="35" t="s">
        <v>15</v>
      </c>
      <c r="G1" s="35" t="s">
        <v>1250</v>
      </c>
      <c r="H1" s="35" t="s">
        <v>333</v>
      </c>
      <c r="I1" s="35" t="s">
        <v>1251</v>
      </c>
      <c r="J1" s="35" t="s">
        <v>335</v>
      </c>
      <c r="K1" s="35" t="s">
        <v>502</v>
      </c>
      <c r="L1" s="35" t="s">
        <v>504</v>
      </c>
      <c r="M1" s="35" t="s">
        <v>320</v>
      </c>
    </row>
    <row r="2" spans="1:13">
      <c r="A2" s="36">
        <v>1</v>
      </c>
      <c r="B2" s="36" t="s">
        <v>107</v>
      </c>
      <c r="C2" s="36" t="s">
        <v>108</v>
      </c>
      <c r="D2" s="37">
        <v>46032</v>
      </c>
      <c r="E2" s="36" t="s">
        <v>152</v>
      </c>
      <c r="F2" s="36">
        <v>68.5</v>
      </c>
      <c r="G2" s="36">
        <v>1.68</v>
      </c>
      <c r="H2" s="36">
        <v>24.3</v>
      </c>
      <c r="I2" s="36">
        <v>24.2</v>
      </c>
      <c r="J2" s="36">
        <v>48.5</v>
      </c>
      <c r="K2" s="36">
        <v>20</v>
      </c>
      <c r="L2" s="36" t="s">
        <v>1252</v>
      </c>
      <c r="M2" s="36" t="s">
        <v>1253</v>
      </c>
    </row>
    <row r="3" spans="1:13">
      <c r="A3" s="36">
        <v>2</v>
      </c>
      <c r="B3" s="36" t="s">
        <v>107</v>
      </c>
      <c r="C3" s="36" t="s">
        <v>108</v>
      </c>
      <c r="D3" s="37">
        <v>46122</v>
      </c>
      <c r="E3" s="36" t="s">
        <v>152</v>
      </c>
      <c r="F3" s="36">
        <v>66.2</v>
      </c>
      <c r="G3" s="36">
        <v>1.68</v>
      </c>
      <c r="H3" s="36">
        <v>23.5</v>
      </c>
      <c r="I3" s="36">
        <v>22.8</v>
      </c>
      <c r="J3" s="36">
        <v>50.1</v>
      </c>
      <c r="K3" s="36">
        <v>16.100000000000001</v>
      </c>
      <c r="L3" s="36" t="s">
        <v>1252</v>
      </c>
      <c r="M3" s="36" t="s">
        <v>1254</v>
      </c>
    </row>
    <row r="4" spans="1:13">
      <c r="A4" s="36">
        <v>3</v>
      </c>
      <c r="B4" s="36" t="s">
        <v>121</v>
      </c>
      <c r="C4" s="36" t="s">
        <v>122</v>
      </c>
      <c r="D4" s="37">
        <v>46058</v>
      </c>
      <c r="E4" s="36" t="s">
        <v>152</v>
      </c>
      <c r="F4" s="36">
        <v>82</v>
      </c>
      <c r="G4" s="36">
        <v>1.78</v>
      </c>
      <c r="H4" s="36">
        <v>25.9</v>
      </c>
      <c r="I4" s="36">
        <v>18.5</v>
      </c>
      <c r="J4" s="36">
        <v>66</v>
      </c>
      <c r="K4" s="36">
        <v>16</v>
      </c>
      <c r="L4" s="36" t="s">
        <v>1255</v>
      </c>
      <c r="M4" s="36" t="s">
        <v>340</v>
      </c>
    </row>
    <row r="5" spans="1:13">
      <c r="A5" s="36">
        <v>4</v>
      </c>
      <c r="B5" s="36" t="s">
        <v>1256</v>
      </c>
      <c r="C5" s="36" t="s">
        <v>131</v>
      </c>
      <c r="D5" s="37">
        <v>46082</v>
      </c>
      <c r="E5" s="36" t="s">
        <v>152</v>
      </c>
      <c r="F5" s="36">
        <v>59</v>
      </c>
      <c r="G5" s="36">
        <v>1.62</v>
      </c>
      <c r="H5" s="36">
        <v>22.5</v>
      </c>
      <c r="I5" s="36">
        <v>26</v>
      </c>
      <c r="J5" s="36">
        <v>42</v>
      </c>
      <c r="K5" s="36">
        <v>17</v>
      </c>
      <c r="L5" s="36" t="s">
        <v>1257</v>
      </c>
      <c r="M5" s="36" t="s">
        <v>1258</v>
      </c>
    </row>
    <row r="6" spans="1:13">
      <c r="A6" s="36">
        <v>5</v>
      </c>
      <c r="B6" s="36" t="s">
        <v>1259</v>
      </c>
      <c r="C6" s="36" t="s">
        <v>154</v>
      </c>
      <c r="D6" s="37">
        <v>46047</v>
      </c>
      <c r="E6" s="36" t="s">
        <v>137</v>
      </c>
      <c r="F6" s="36">
        <v>90.5</v>
      </c>
      <c r="G6" s="36">
        <v>1.8</v>
      </c>
      <c r="H6" s="36">
        <v>27.9</v>
      </c>
      <c r="I6" s="36">
        <v>16</v>
      </c>
      <c r="J6" s="36">
        <v>74</v>
      </c>
      <c r="K6" s="36">
        <v>16.5</v>
      </c>
      <c r="L6" s="36" t="s">
        <v>1255</v>
      </c>
      <c r="M6" s="36" t="s">
        <v>1260</v>
      </c>
    </row>
    <row r="7" spans="1:13">
      <c r="A7" s="36">
        <v>6</v>
      </c>
      <c r="B7" s="36" t="s">
        <v>146</v>
      </c>
      <c r="C7" s="36" t="s">
        <v>147</v>
      </c>
      <c r="D7" s="37">
        <v>46089</v>
      </c>
      <c r="E7" s="36" t="s">
        <v>152</v>
      </c>
      <c r="F7" s="36">
        <v>71</v>
      </c>
      <c r="G7" s="36">
        <v>1.7</v>
      </c>
      <c r="H7" s="36">
        <v>24.6</v>
      </c>
      <c r="I7" s="36">
        <v>27.5</v>
      </c>
      <c r="J7" s="36">
        <v>49</v>
      </c>
      <c r="K7" s="36">
        <v>22</v>
      </c>
      <c r="L7" s="36" t="s">
        <v>1252</v>
      </c>
      <c r="M7" s="36" t="s">
        <v>1261</v>
      </c>
    </row>
    <row r="8" spans="1:13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</row>
  </sheetData>
  <pageMargins left="0.75" right="0.75" top="1" bottom="1" header="0.5" footer="0.5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Planilha67">
    <tabColor rgb="FFD4AF37"/>
  </sheetPr>
  <dimension ref="A1:L8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6" width="10" customWidth="1"/>
    <col min="7" max="8" width="12" customWidth="1"/>
    <col min="9" max="9" width="10" customWidth="1"/>
    <col min="10" max="10" width="8" customWidth="1"/>
    <col min="11" max="11" width="11" customWidth="1"/>
    <col min="12" max="12" width="10" customWidth="1"/>
  </cols>
  <sheetData>
    <row r="1" spans="1:12" ht="28.8">
      <c r="A1" s="35" t="s">
        <v>70</v>
      </c>
      <c r="B1" s="35" t="s">
        <v>1262</v>
      </c>
      <c r="C1" s="35" t="s">
        <v>493</v>
      </c>
      <c r="D1" s="35" t="s">
        <v>494</v>
      </c>
      <c r="E1" s="35" t="s">
        <v>1263</v>
      </c>
      <c r="F1" s="35" t="s">
        <v>496</v>
      </c>
      <c r="G1" s="35" t="s">
        <v>1264</v>
      </c>
      <c r="H1" s="35" t="s">
        <v>1265</v>
      </c>
      <c r="I1" s="35" t="s">
        <v>1266</v>
      </c>
      <c r="J1" s="35" t="s">
        <v>500</v>
      </c>
      <c r="K1" s="35" t="s">
        <v>501</v>
      </c>
      <c r="L1" s="35" t="s">
        <v>503</v>
      </c>
    </row>
    <row r="2" spans="1:12">
      <c r="A2" s="36">
        <v>1</v>
      </c>
      <c r="B2" s="36">
        <v>1</v>
      </c>
      <c r="C2" s="36">
        <v>92</v>
      </c>
      <c r="D2" s="36">
        <v>74</v>
      </c>
      <c r="E2" s="36">
        <v>82</v>
      </c>
      <c r="F2" s="36">
        <v>98</v>
      </c>
      <c r="G2" s="36">
        <v>28</v>
      </c>
      <c r="H2" s="36">
        <v>27</v>
      </c>
      <c r="I2" s="36">
        <v>24</v>
      </c>
      <c r="J2" s="36">
        <v>56</v>
      </c>
      <c r="K2" s="36">
        <v>34</v>
      </c>
      <c r="L2" s="36">
        <v>108</v>
      </c>
    </row>
    <row r="3" spans="1:12">
      <c r="A3" s="36">
        <v>2</v>
      </c>
      <c r="B3" s="36">
        <v>2</v>
      </c>
      <c r="C3" s="36">
        <v>90</v>
      </c>
      <c r="D3" s="36">
        <v>70</v>
      </c>
      <c r="E3" s="36">
        <v>78</v>
      </c>
      <c r="F3" s="36">
        <v>96</v>
      </c>
      <c r="G3" s="36">
        <v>28</v>
      </c>
      <c r="H3" s="36">
        <v>27</v>
      </c>
      <c r="I3" s="36">
        <v>24</v>
      </c>
      <c r="J3" s="36">
        <v>55</v>
      </c>
      <c r="K3" s="36">
        <v>34</v>
      </c>
      <c r="L3" s="36">
        <v>106</v>
      </c>
    </row>
    <row r="4" spans="1:12">
      <c r="A4" s="36">
        <v>3</v>
      </c>
      <c r="B4" s="36">
        <v>3</v>
      </c>
      <c r="C4" s="36">
        <v>102</v>
      </c>
      <c r="D4" s="36">
        <v>82</v>
      </c>
      <c r="E4" s="36">
        <v>88</v>
      </c>
      <c r="F4" s="36">
        <v>100</v>
      </c>
      <c r="G4" s="36">
        <v>36</v>
      </c>
      <c r="H4" s="36">
        <v>35</v>
      </c>
      <c r="I4" s="36">
        <v>28</v>
      </c>
      <c r="J4" s="36">
        <v>60</v>
      </c>
      <c r="K4" s="36">
        <v>38</v>
      </c>
      <c r="L4" s="36">
        <v>118</v>
      </c>
    </row>
    <row r="5" spans="1:12">
      <c r="A5" s="36">
        <v>4</v>
      </c>
      <c r="B5" s="36">
        <v>4</v>
      </c>
      <c r="C5" s="36">
        <v>88</v>
      </c>
      <c r="D5" s="36">
        <v>68</v>
      </c>
      <c r="E5" s="36">
        <v>76</v>
      </c>
      <c r="F5" s="36">
        <v>94</v>
      </c>
      <c r="G5" s="36">
        <v>26</v>
      </c>
      <c r="H5" s="36">
        <v>25</v>
      </c>
      <c r="I5" s="36">
        <v>22</v>
      </c>
      <c r="J5" s="36">
        <v>52</v>
      </c>
      <c r="K5" s="36">
        <v>32</v>
      </c>
      <c r="L5" s="36">
        <v>102</v>
      </c>
    </row>
    <row r="6" spans="1:12">
      <c r="A6" s="36">
        <v>5</v>
      </c>
      <c r="B6" s="36">
        <v>5</v>
      </c>
      <c r="C6" s="36">
        <v>110</v>
      </c>
      <c r="D6" s="36">
        <v>86</v>
      </c>
      <c r="E6" s="36">
        <v>92</v>
      </c>
      <c r="F6" s="36">
        <v>104</v>
      </c>
      <c r="G6" s="36">
        <v>38</v>
      </c>
      <c r="H6" s="36">
        <v>37</v>
      </c>
      <c r="I6" s="36">
        <v>30</v>
      </c>
      <c r="J6" s="36">
        <v>64</v>
      </c>
      <c r="K6" s="36">
        <v>40</v>
      </c>
      <c r="L6" s="36">
        <v>122</v>
      </c>
    </row>
    <row r="7" spans="1:12">
      <c r="A7" s="36">
        <v>6</v>
      </c>
      <c r="B7" s="36">
        <v>6</v>
      </c>
      <c r="C7" s="36">
        <v>94</v>
      </c>
      <c r="D7" s="36">
        <v>78</v>
      </c>
      <c r="E7" s="36">
        <v>86</v>
      </c>
      <c r="F7" s="36">
        <v>100</v>
      </c>
      <c r="G7" s="36">
        <v>29</v>
      </c>
      <c r="H7" s="36">
        <v>28</v>
      </c>
      <c r="I7" s="36">
        <v>25</v>
      </c>
      <c r="J7" s="36">
        <v>57</v>
      </c>
      <c r="K7" s="36">
        <v>35</v>
      </c>
      <c r="L7" s="36">
        <v>110</v>
      </c>
    </row>
    <row r="8" spans="1:1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</sheetData>
  <pageMargins left="0.75" right="0.75" top="1" bottom="1" header="0.5" footer="0.5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Planilha68">
    <tabColor rgb="FFD4AF37"/>
  </sheetPr>
  <dimension ref="A1:K6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2" width="16" customWidth="1"/>
    <col min="3" max="3" width="22" customWidth="1"/>
    <col min="4" max="4" width="16" customWidth="1"/>
    <col min="5" max="5" width="14" customWidth="1"/>
    <col min="6" max="6" width="18" customWidth="1"/>
    <col min="7" max="7" width="10" customWidth="1"/>
    <col min="8" max="9" width="12" customWidth="1"/>
    <col min="10" max="10" width="8" customWidth="1"/>
    <col min="11" max="11" width="10" customWidth="1"/>
  </cols>
  <sheetData>
    <row r="1" spans="1:11">
      <c r="A1" s="35" t="s">
        <v>70</v>
      </c>
      <c r="B1" s="35" t="s">
        <v>73</v>
      </c>
      <c r="C1" s="35" t="s">
        <v>98</v>
      </c>
      <c r="D1" s="35" t="s">
        <v>76</v>
      </c>
      <c r="E1" s="35" t="s">
        <v>294</v>
      </c>
      <c r="F1" s="35" t="s">
        <v>504</v>
      </c>
      <c r="G1" s="35" t="s">
        <v>1267</v>
      </c>
      <c r="H1" s="35" t="s">
        <v>1231</v>
      </c>
      <c r="I1" s="35" t="s">
        <v>1232</v>
      </c>
      <c r="J1" s="35" t="s">
        <v>1268</v>
      </c>
      <c r="K1" s="35" t="s">
        <v>106</v>
      </c>
    </row>
    <row r="2" spans="1:11">
      <c r="A2" s="36">
        <v>1</v>
      </c>
      <c r="B2" s="36" t="s">
        <v>107</v>
      </c>
      <c r="C2" s="36" t="s">
        <v>108</v>
      </c>
      <c r="D2" s="36" t="s">
        <v>152</v>
      </c>
      <c r="E2" s="36" t="s">
        <v>1252</v>
      </c>
      <c r="F2" s="36" t="s">
        <v>1269</v>
      </c>
      <c r="G2" s="36" t="s">
        <v>1270</v>
      </c>
      <c r="H2" s="37">
        <v>46037</v>
      </c>
      <c r="I2" s="37">
        <v>46127</v>
      </c>
      <c r="J2" s="36">
        <v>1</v>
      </c>
      <c r="K2" s="36" t="s">
        <v>862</v>
      </c>
    </row>
    <row r="3" spans="1:11">
      <c r="A3" s="36">
        <v>2</v>
      </c>
      <c r="B3" s="36" t="s">
        <v>107</v>
      </c>
      <c r="C3" s="36" t="s">
        <v>108</v>
      </c>
      <c r="D3" s="36" t="s">
        <v>152</v>
      </c>
      <c r="E3" s="36" t="s">
        <v>1252</v>
      </c>
      <c r="F3" s="36" t="s">
        <v>1271</v>
      </c>
      <c r="G3" s="36" t="s">
        <v>1270</v>
      </c>
      <c r="H3" s="37">
        <v>46128</v>
      </c>
      <c r="I3" s="36"/>
      <c r="J3" s="36">
        <v>2</v>
      </c>
      <c r="K3" s="36" t="s">
        <v>120</v>
      </c>
    </row>
    <row r="4" spans="1:11">
      <c r="A4" s="36">
        <v>3</v>
      </c>
      <c r="B4" s="36" t="s">
        <v>121</v>
      </c>
      <c r="C4" s="36" t="s">
        <v>122</v>
      </c>
      <c r="D4" s="36" t="s">
        <v>152</v>
      </c>
      <c r="E4" s="36" t="s">
        <v>1255</v>
      </c>
      <c r="F4" s="36" t="s">
        <v>1272</v>
      </c>
      <c r="G4" s="36" t="s">
        <v>1273</v>
      </c>
      <c r="H4" s="37">
        <v>46063</v>
      </c>
      <c r="I4" s="36"/>
      <c r="J4" s="36">
        <v>1</v>
      </c>
      <c r="K4" s="36" t="s">
        <v>120</v>
      </c>
    </row>
    <row r="5" spans="1:11">
      <c r="A5" s="36">
        <v>4</v>
      </c>
      <c r="B5" s="36" t="s">
        <v>1259</v>
      </c>
      <c r="C5" s="36" t="s">
        <v>154</v>
      </c>
      <c r="D5" s="36" t="s">
        <v>137</v>
      </c>
      <c r="E5" s="36" t="s">
        <v>1255</v>
      </c>
      <c r="F5" s="36" t="s">
        <v>1274</v>
      </c>
      <c r="G5" s="36" t="s">
        <v>1275</v>
      </c>
      <c r="H5" s="37">
        <v>46054</v>
      </c>
      <c r="I5" s="36"/>
      <c r="J5" s="36">
        <v>1</v>
      </c>
      <c r="K5" s="36" t="s">
        <v>120</v>
      </c>
    </row>
    <row r="6" spans="1:1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</row>
  </sheetData>
  <pageMargins left="0.75" right="0.75" top="1" bottom="1" header="0.5" footer="0.5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Planilha69">
    <tabColor rgb="FFD4AF37"/>
  </sheetPr>
  <dimension ref="A1:D22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10" customWidth="1"/>
    <col min="2" max="2" width="22" customWidth="1"/>
    <col min="3" max="4" width="16" customWidth="1"/>
  </cols>
  <sheetData>
    <row r="1" spans="1:4">
      <c r="A1" s="35" t="s">
        <v>178</v>
      </c>
      <c r="B1" s="35" t="s">
        <v>694</v>
      </c>
      <c r="C1" s="35" t="s">
        <v>1276</v>
      </c>
      <c r="D1" s="35" t="s">
        <v>314</v>
      </c>
    </row>
    <row r="2" spans="1:4">
      <c r="A2" s="36" t="s">
        <v>534</v>
      </c>
      <c r="B2" s="36" t="s">
        <v>322</v>
      </c>
      <c r="C2" s="36" t="s">
        <v>535</v>
      </c>
      <c r="D2" s="36" t="s">
        <v>536</v>
      </c>
    </row>
    <row r="3" spans="1:4">
      <c r="A3" s="36" t="s">
        <v>537</v>
      </c>
      <c r="B3" s="36" t="s">
        <v>538</v>
      </c>
      <c r="C3" s="36" t="s">
        <v>535</v>
      </c>
      <c r="D3" s="36" t="s">
        <v>536</v>
      </c>
    </row>
    <row r="4" spans="1:4">
      <c r="A4" s="36" t="s">
        <v>539</v>
      </c>
      <c r="B4" s="36" t="s">
        <v>540</v>
      </c>
      <c r="C4" s="36" t="s">
        <v>535</v>
      </c>
      <c r="D4" s="36" t="s">
        <v>541</v>
      </c>
    </row>
    <row r="5" spans="1:4">
      <c r="A5" s="36" t="s">
        <v>542</v>
      </c>
      <c r="B5" s="36" t="s">
        <v>543</v>
      </c>
      <c r="C5" s="36" t="s">
        <v>544</v>
      </c>
      <c r="D5" s="36" t="s">
        <v>545</v>
      </c>
    </row>
    <row r="6" spans="1:4">
      <c r="A6" s="36" t="s">
        <v>546</v>
      </c>
      <c r="B6" s="36" t="s">
        <v>547</v>
      </c>
      <c r="C6" s="36" t="s">
        <v>544</v>
      </c>
      <c r="D6" s="36" t="s">
        <v>55</v>
      </c>
    </row>
    <row r="7" spans="1:4">
      <c r="A7" s="36" t="s">
        <v>548</v>
      </c>
      <c r="B7" s="36" t="s">
        <v>549</v>
      </c>
      <c r="C7" s="36" t="s">
        <v>550</v>
      </c>
      <c r="D7" s="36" t="s">
        <v>55</v>
      </c>
    </row>
    <row r="8" spans="1:4">
      <c r="A8" s="36" t="s">
        <v>551</v>
      </c>
      <c r="B8" s="36" t="s">
        <v>552</v>
      </c>
      <c r="C8" s="36" t="s">
        <v>550</v>
      </c>
      <c r="D8" s="36" t="s">
        <v>552</v>
      </c>
    </row>
    <row r="9" spans="1:4">
      <c r="A9" s="36" t="s">
        <v>553</v>
      </c>
      <c r="B9" s="36" t="s">
        <v>554</v>
      </c>
      <c r="C9" s="36" t="s">
        <v>550</v>
      </c>
      <c r="D9" s="36" t="s">
        <v>326</v>
      </c>
    </row>
    <row r="10" spans="1:4">
      <c r="A10" s="36" t="s">
        <v>555</v>
      </c>
      <c r="B10" s="36" t="s">
        <v>556</v>
      </c>
      <c r="C10" s="36" t="s">
        <v>503</v>
      </c>
      <c r="D10" s="36" t="s">
        <v>541</v>
      </c>
    </row>
    <row r="11" spans="1:4">
      <c r="A11" s="36" t="s">
        <v>557</v>
      </c>
      <c r="B11" s="36" t="s">
        <v>558</v>
      </c>
      <c r="C11" s="36" t="s">
        <v>503</v>
      </c>
      <c r="D11" s="36" t="s">
        <v>541</v>
      </c>
    </row>
    <row r="12" spans="1:4">
      <c r="A12" s="36" t="s">
        <v>559</v>
      </c>
      <c r="B12" s="36" t="s">
        <v>560</v>
      </c>
      <c r="C12" s="36" t="s">
        <v>561</v>
      </c>
      <c r="D12" s="36" t="s">
        <v>55</v>
      </c>
    </row>
    <row r="13" spans="1:4">
      <c r="A13" s="36" t="s">
        <v>562</v>
      </c>
      <c r="B13" s="36" t="s">
        <v>563</v>
      </c>
      <c r="C13" s="36" t="s">
        <v>561</v>
      </c>
      <c r="D13" s="36" t="s">
        <v>541</v>
      </c>
    </row>
    <row r="14" spans="1:4">
      <c r="A14" s="36" t="s">
        <v>1277</v>
      </c>
      <c r="B14" s="36" t="s">
        <v>1278</v>
      </c>
      <c r="C14" s="36" t="s">
        <v>1279</v>
      </c>
      <c r="D14" s="36" t="s">
        <v>545</v>
      </c>
    </row>
    <row r="15" spans="1:4">
      <c r="A15" s="36" t="s">
        <v>1280</v>
      </c>
      <c r="B15" s="36" t="s">
        <v>1281</v>
      </c>
      <c r="C15" s="36" t="s">
        <v>1279</v>
      </c>
      <c r="D15" s="36" t="s">
        <v>541</v>
      </c>
    </row>
    <row r="16" spans="1:4">
      <c r="A16" s="36" t="s">
        <v>1282</v>
      </c>
      <c r="B16" s="36" t="s">
        <v>1283</v>
      </c>
      <c r="C16" s="36" t="s">
        <v>1284</v>
      </c>
      <c r="D16" s="36" t="s">
        <v>1285</v>
      </c>
    </row>
    <row r="17" spans="1:4">
      <c r="A17" s="36" t="s">
        <v>1286</v>
      </c>
      <c r="B17" s="36" t="s">
        <v>1287</v>
      </c>
      <c r="C17" s="36" t="s">
        <v>1284</v>
      </c>
      <c r="D17" s="36" t="s">
        <v>1285</v>
      </c>
    </row>
    <row r="18" spans="1:4">
      <c r="A18" s="36" t="s">
        <v>1288</v>
      </c>
      <c r="B18" s="36" t="s">
        <v>1289</v>
      </c>
      <c r="C18" s="36" t="s">
        <v>1290</v>
      </c>
      <c r="D18" s="36" t="s">
        <v>55</v>
      </c>
    </row>
    <row r="19" spans="1:4">
      <c r="A19" s="36" t="s">
        <v>1291</v>
      </c>
      <c r="B19" s="36" t="s">
        <v>1292</v>
      </c>
      <c r="C19" s="36" t="s">
        <v>501</v>
      </c>
      <c r="D19" s="36" t="s">
        <v>1293</v>
      </c>
    </row>
    <row r="20" spans="1:4">
      <c r="A20" s="36" t="s">
        <v>1294</v>
      </c>
      <c r="B20" s="36" t="s">
        <v>1295</v>
      </c>
      <c r="C20" s="36" t="s">
        <v>535</v>
      </c>
      <c r="D20" s="36" t="s">
        <v>1285</v>
      </c>
    </row>
    <row r="21" spans="1:4">
      <c r="A21" s="36" t="s">
        <v>1296</v>
      </c>
      <c r="B21" s="36" t="s">
        <v>1297</v>
      </c>
      <c r="C21" s="36" t="s">
        <v>544</v>
      </c>
      <c r="D21" s="36" t="s">
        <v>55</v>
      </c>
    </row>
    <row r="22" spans="1:4">
      <c r="A22" s="39"/>
      <c r="B22" s="39"/>
      <c r="C22" s="39"/>
      <c r="D22" s="39"/>
    </row>
  </sheetData>
  <pageMargins left="0.75" right="0.75" top="1" bottom="1" header="0.5" footer="0.5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Planilha70">
    <tabColor rgb="FFD4AF37"/>
  </sheetPr>
  <dimension ref="A1:J17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2" width="10" customWidth="1"/>
    <col min="3" max="3" width="6" customWidth="1"/>
    <col min="4" max="5" width="12" customWidth="1"/>
    <col min="6" max="6" width="20" customWidth="1"/>
    <col min="7" max="7" width="8" customWidth="1"/>
    <col min="8" max="8" width="10" customWidth="1"/>
    <col min="9" max="9" width="8" customWidth="1"/>
    <col min="10" max="10" width="18" customWidth="1"/>
  </cols>
  <sheetData>
    <row r="1" spans="1:10" ht="28.8">
      <c r="A1" s="35" t="s">
        <v>70</v>
      </c>
      <c r="B1" s="35" t="s">
        <v>1298</v>
      </c>
      <c r="C1" s="35" t="s">
        <v>527</v>
      </c>
      <c r="D1" s="35" t="s">
        <v>528</v>
      </c>
      <c r="E1" s="35" t="s">
        <v>1299</v>
      </c>
      <c r="F1" s="35" t="s">
        <v>694</v>
      </c>
      <c r="G1" s="35" t="s">
        <v>695</v>
      </c>
      <c r="H1" s="35" t="s">
        <v>1300</v>
      </c>
      <c r="I1" s="35" t="s">
        <v>1301</v>
      </c>
      <c r="J1" s="35" t="s">
        <v>223</v>
      </c>
    </row>
    <row r="2" spans="1:10">
      <c r="A2" s="36">
        <v>1</v>
      </c>
      <c r="B2" s="36">
        <v>2</v>
      </c>
      <c r="C2" s="36" t="s">
        <v>513</v>
      </c>
      <c r="D2" s="36" t="s">
        <v>535</v>
      </c>
      <c r="E2" s="36" t="s">
        <v>534</v>
      </c>
      <c r="F2" s="36" t="s">
        <v>322</v>
      </c>
      <c r="G2" s="36">
        <v>4</v>
      </c>
      <c r="H2" s="36" t="s">
        <v>1302</v>
      </c>
      <c r="I2" s="36">
        <v>1</v>
      </c>
      <c r="J2" s="36"/>
    </row>
    <row r="3" spans="1:10">
      <c r="A3" s="36">
        <v>2</v>
      </c>
      <c r="B3" s="36">
        <v>2</v>
      </c>
      <c r="C3" s="36" t="s">
        <v>513</v>
      </c>
      <c r="D3" s="36" t="s">
        <v>535</v>
      </c>
      <c r="E3" s="36" t="s">
        <v>537</v>
      </c>
      <c r="F3" s="36" t="s">
        <v>538</v>
      </c>
      <c r="G3" s="36">
        <v>3</v>
      </c>
      <c r="H3" s="36" t="s">
        <v>1303</v>
      </c>
      <c r="I3" s="36">
        <v>2</v>
      </c>
      <c r="J3" s="36"/>
    </row>
    <row r="4" spans="1:10">
      <c r="A4" s="36">
        <v>3</v>
      </c>
      <c r="B4" s="36">
        <v>2</v>
      </c>
      <c r="C4" s="36" t="s">
        <v>513</v>
      </c>
      <c r="D4" s="36" t="s">
        <v>535</v>
      </c>
      <c r="E4" s="36" t="s">
        <v>539</v>
      </c>
      <c r="F4" s="36" t="s">
        <v>540</v>
      </c>
      <c r="G4" s="36">
        <v>3</v>
      </c>
      <c r="H4" s="36" t="s">
        <v>1304</v>
      </c>
      <c r="I4" s="36">
        <v>3</v>
      </c>
      <c r="J4" s="36"/>
    </row>
    <row r="5" spans="1:10">
      <c r="A5" s="36">
        <v>4</v>
      </c>
      <c r="B5" s="36">
        <v>2</v>
      </c>
      <c r="C5" s="36" t="s">
        <v>513</v>
      </c>
      <c r="D5" s="36" t="s">
        <v>1279</v>
      </c>
      <c r="E5" s="36" t="s">
        <v>1277</v>
      </c>
      <c r="F5" s="36" t="s">
        <v>1278</v>
      </c>
      <c r="G5" s="36">
        <v>3</v>
      </c>
      <c r="H5" s="36" t="s">
        <v>1302</v>
      </c>
      <c r="I5" s="36">
        <v>4</v>
      </c>
      <c r="J5" s="36"/>
    </row>
    <row r="6" spans="1:10">
      <c r="A6" s="36">
        <v>5</v>
      </c>
      <c r="B6" s="36">
        <v>2</v>
      </c>
      <c r="C6" s="36" t="s">
        <v>513</v>
      </c>
      <c r="D6" s="36" t="s">
        <v>1279</v>
      </c>
      <c r="E6" s="36" t="s">
        <v>1280</v>
      </c>
      <c r="F6" s="36" t="s">
        <v>1281</v>
      </c>
      <c r="G6" s="36">
        <v>3</v>
      </c>
      <c r="H6" s="36" t="s">
        <v>1303</v>
      </c>
      <c r="I6" s="36">
        <v>5</v>
      </c>
      <c r="J6" s="36"/>
    </row>
    <row r="7" spans="1:10">
      <c r="A7" s="36">
        <v>6</v>
      </c>
      <c r="B7" s="36">
        <v>2</v>
      </c>
      <c r="C7" s="36" t="s">
        <v>514</v>
      </c>
      <c r="D7" s="36" t="s">
        <v>544</v>
      </c>
      <c r="E7" s="36" t="s">
        <v>542</v>
      </c>
      <c r="F7" s="36" t="s">
        <v>543</v>
      </c>
      <c r="G7" s="36">
        <v>4</v>
      </c>
      <c r="H7" s="36" t="s">
        <v>1302</v>
      </c>
      <c r="I7" s="36">
        <v>1</v>
      </c>
      <c r="J7" s="36"/>
    </row>
    <row r="8" spans="1:10">
      <c r="A8" s="36">
        <v>7</v>
      </c>
      <c r="B8" s="36">
        <v>2</v>
      </c>
      <c r="C8" s="36" t="s">
        <v>514</v>
      </c>
      <c r="D8" s="36" t="s">
        <v>544</v>
      </c>
      <c r="E8" s="36" t="s">
        <v>546</v>
      </c>
      <c r="F8" s="36" t="s">
        <v>547</v>
      </c>
      <c r="G8" s="36">
        <v>3</v>
      </c>
      <c r="H8" s="36" t="s">
        <v>1303</v>
      </c>
      <c r="I8" s="36">
        <v>2</v>
      </c>
      <c r="J8" s="36"/>
    </row>
    <row r="9" spans="1:10">
      <c r="A9" s="36">
        <v>8</v>
      </c>
      <c r="B9" s="36">
        <v>2</v>
      </c>
      <c r="C9" s="36" t="s">
        <v>514</v>
      </c>
      <c r="D9" s="36" t="s">
        <v>561</v>
      </c>
      <c r="E9" s="36" t="s">
        <v>559</v>
      </c>
      <c r="F9" s="36" t="s">
        <v>560</v>
      </c>
      <c r="G9" s="36">
        <v>3</v>
      </c>
      <c r="H9" s="36" t="s">
        <v>1302</v>
      </c>
      <c r="I9" s="36">
        <v>3</v>
      </c>
      <c r="J9" s="36"/>
    </row>
    <row r="10" spans="1:10">
      <c r="A10" s="36">
        <v>9</v>
      </c>
      <c r="B10" s="36">
        <v>2</v>
      </c>
      <c r="C10" s="36" t="s">
        <v>636</v>
      </c>
      <c r="D10" s="36" t="s">
        <v>550</v>
      </c>
      <c r="E10" s="36" t="s">
        <v>548</v>
      </c>
      <c r="F10" s="36" t="s">
        <v>549</v>
      </c>
      <c r="G10" s="36">
        <v>4</v>
      </c>
      <c r="H10" s="36" t="s">
        <v>1303</v>
      </c>
      <c r="I10" s="36">
        <v>1</v>
      </c>
      <c r="J10" s="36"/>
    </row>
    <row r="11" spans="1:10">
      <c r="A11" s="36">
        <v>10</v>
      </c>
      <c r="B11" s="36">
        <v>2</v>
      </c>
      <c r="C11" s="36" t="s">
        <v>636</v>
      </c>
      <c r="D11" s="36" t="s">
        <v>550</v>
      </c>
      <c r="E11" s="36" t="s">
        <v>551</v>
      </c>
      <c r="F11" s="36" t="s">
        <v>552</v>
      </c>
      <c r="G11" s="36">
        <v>3</v>
      </c>
      <c r="H11" s="36" t="s">
        <v>1302</v>
      </c>
      <c r="I11" s="36">
        <v>2</v>
      </c>
      <c r="J11" s="36"/>
    </row>
    <row r="12" spans="1:10">
      <c r="A12" s="36">
        <v>11</v>
      </c>
      <c r="B12" s="36">
        <v>2</v>
      </c>
      <c r="C12" s="36" t="s">
        <v>636</v>
      </c>
      <c r="D12" s="36" t="s">
        <v>550</v>
      </c>
      <c r="E12" s="36" t="s">
        <v>553</v>
      </c>
      <c r="F12" s="36" t="s">
        <v>554</v>
      </c>
      <c r="G12" s="36">
        <v>3</v>
      </c>
      <c r="H12" s="36" t="s">
        <v>1304</v>
      </c>
      <c r="I12" s="36">
        <v>3</v>
      </c>
      <c r="J12" s="36"/>
    </row>
    <row r="13" spans="1:10">
      <c r="A13" s="36">
        <v>12</v>
      </c>
      <c r="B13" s="36">
        <v>3</v>
      </c>
      <c r="C13" s="36" t="s">
        <v>513</v>
      </c>
      <c r="D13" s="36" t="s">
        <v>535</v>
      </c>
      <c r="E13" s="36" t="s">
        <v>534</v>
      </c>
      <c r="F13" s="36" t="s">
        <v>322</v>
      </c>
      <c r="G13" s="36">
        <v>4</v>
      </c>
      <c r="H13" s="36" t="s">
        <v>1305</v>
      </c>
      <c r="I13" s="36">
        <v>1</v>
      </c>
      <c r="J13" s="36" t="s">
        <v>1306</v>
      </c>
    </row>
    <row r="14" spans="1:10">
      <c r="A14" s="36">
        <v>13</v>
      </c>
      <c r="B14" s="36">
        <v>3</v>
      </c>
      <c r="C14" s="36" t="s">
        <v>513</v>
      </c>
      <c r="D14" s="36" t="s">
        <v>503</v>
      </c>
      <c r="E14" s="36" t="s">
        <v>555</v>
      </c>
      <c r="F14" s="36" t="s">
        <v>556</v>
      </c>
      <c r="G14" s="36">
        <v>3</v>
      </c>
      <c r="H14" s="36" t="s">
        <v>1303</v>
      </c>
      <c r="I14" s="36">
        <v>2</v>
      </c>
      <c r="J14" s="36"/>
    </row>
    <row r="15" spans="1:10">
      <c r="A15" s="36">
        <v>14</v>
      </c>
      <c r="B15" s="36">
        <v>3</v>
      </c>
      <c r="C15" s="36" t="s">
        <v>514</v>
      </c>
      <c r="D15" s="36" t="s">
        <v>544</v>
      </c>
      <c r="E15" s="36" t="s">
        <v>1296</v>
      </c>
      <c r="F15" s="36" t="s">
        <v>1297</v>
      </c>
      <c r="G15" s="36">
        <v>4</v>
      </c>
      <c r="H15" s="36" t="s">
        <v>1307</v>
      </c>
      <c r="I15" s="36">
        <v>1</v>
      </c>
      <c r="J15" s="36"/>
    </row>
    <row r="16" spans="1:10">
      <c r="A16" s="36">
        <v>15</v>
      </c>
      <c r="B16" s="36">
        <v>3</v>
      </c>
      <c r="C16" s="36" t="s">
        <v>636</v>
      </c>
      <c r="D16" s="36" t="s">
        <v>550</v>
      </c>
      <c r="E16" s="36" t="s">
        <v>548</v>
      </c>
      <c r="F16" s="36" t="s">
        <v>549</v>
      </c>
      <c r="G16" s="36">
        <v>5</v>
      </c>
      <c r="H16" s="36" t="s">
        <v>1308</v>
      </c>
      <c r="I16" s="36">
        <v>1</v>
      </c>
      <c r="J16" s="36" t="s">
        <v>1309</v>
      </c>
    </row>
    <row r="17" spans="1:10">
      <c r="A17" s="39"/>
      <c r="B17" s="39"/>
      <c r="C17" s="39"/>
      <c r="D17" s="39"/>
      <c r="E17" s="39"/>
      <c r="F17" s="39"/>
      <c r="G17" s="39"/>
      <c r="H17" s="39"/>
      <c r="I17" s="39"/>
      <c r="J17" s="39"/>
    </row>
  </sheetData>
  <pageMargins left="0.75" right="0.75" top="1" bottom="1" header="0.5" footer="0.5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Planilha71">
    <tabColor rgb="FFD4AF37"/>
  </sheetPr>
  <dimension ref="A1:F4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2" width="16" customWidth="1"/>
    <col min="3" max="3" width="12" customWidth="1"/>
    <col min="4" max="6" width="42" customWidth="1"/>
  </cols>
  <sheetData>
    <row r="1" spans="1:6">
      <c r="A1" s="35" t="s">
        <v>70</v>
      </c>
      <c r="B1" s="35" t="s">
        <v>73</v>
      </c>
      <c r="C1" s="35" t="s">
        <v>217</v>
      </c>
      <c r="D1" s="35" t="s">
        <v>1310</v>
      </c>
      <c r="E1" s="35" t="s">
        <v>1311</v>
      </c>
      <c r="F1" s="35" t="s">
        <v>544</v>
      </c>
    </row>
    <row r="2" spans="1:6">
      <c r="A2" s="36">
        <v>1</v>
      </c>
      <c r="B2" s="36" t="s">
        <v>107</v>
      </c>
      <c r="C2" s="37">
        <v>46032</v>
      </c>
      <c r="D2" s="36" t="s">
        <v>1312</v>
      </c>
      <c r="E2" s="36" t="s">
        <v>1313</v>
      </c>
      <c r="F2" s="36" t="s">
        <v>1314</v>
      </c>
    </row>
    <row r="3" spans="1:6">
      <c r="A3" s="36">
        <v>2</v>
      </c>
      <c r="B3" s="36" t="s">
        <v>107</v>
      </c>
      <c r="C3" s="37">
        <v>46122</v>
      </c>
      <c r="D3" s="36" t="s">
        <v>1315</v>
      </c>
      <c r="E3" s="36" t="s">
        <v>1316</v>
      </c>
      <c r="F3" s="36" t="s">
        <v>1317</v>
      </c>
    </row>
    <row r="4" spans="1:6">
      <c r="A4" s="39"/>
      <c r="B4" s="39"/>
      <c r="C4" s="39"/>
      <c r="D4" s="39"/>
      <c r="E4" s="39"/>
      <c r="F4" s="39"/>
    </row>
  </sheetData>
  <pageMargins left="0.75" right="0.75" top="1" bottom="1" header="0.5" footer="0.5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Planilha72">
    <tabColor rgb="FFD4AF37"/>
  </sheetPr>
  <dimension ref="A1:J9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6" customWidth="1"/>
    <col min="2" max="2" width="16" customWidth="1"/>
    <col min="3" max="3" width="22" customWidth="1"/>
    <col min="4" max="4" width="12" customWidth="1"/>
    <col min="5" max="6" width="10" customWidth="1"/>
    <col min="7" max="7" width="14" customWidth="1"/>
    <col min="8" max="8" width="12" customWidth="1"/>
    <col min="9" max="9" width="14" customWidth="1"/>
    <col min="10" max="10" width="12" customWidth="1"/>
  </cols>
  <sheetData>
    <row r="1" spans="1:10" ht="28.8">
      <c r="A1" s="35" t="s">
        <v>70</v>
      </c>
      <c r="B1" s="35" t="s">
        <v>73</v>
      </c>
      <c r="C1" s="35" t="s">
        <v>98</v>
      </c>
      <c r="D1" s="35" t="s">
        <v>217</v>
      </c>
      <c r="E1" s="35" t="s">
        <v>346</v>
      </c>
      <c r="F1" s="35" t="s">
        <v>347</v>
      </c>
      <c r="G1" s="35" t="s">
        <v>1318</v>
      </c>
      <c r="H1" s="35" t="s">
        <v>573</v>
      </c>
      <c r="I1" s="35" t="s">
        <v>430</v>
      </c>
      <c r="J1" s="35" t="s">
        <v>106</v>
      </c>
    </row>
    <row r="2" spans="1:10">
      <c r="A2" s="36">
        <v>1</v>
      </c>
      <c r="B2" s="36" t="s">
        <v>107</v>
      </c>
      <c r="C2" s="36" t="s">
        <v>108</v>
      </c>
      <c r="D2" s="37">
        <v>46225</v>
      </c>
      <c r="E2" s="36" t="s">
        <v>1319</v>
      </c>
      <c r="F2" s="36" t="s">
        <v>1320</v>
      </c>
      <c r="G2" s="36" t="s">
        <v>1321</v>
      </c>
      <c r="H2" s="36" t="s">
        <v>574</v>
      </c>
      <c r="I2" s="36" t="s">
        <v>906</v>
      </c>
      <c r="J2" s="36" t="s">
        <v>1322</v>
      </c>
    </row>
    <row r="3" spans="1:10">
      <c r="A3" s="36">
        <v>2</v>
      </c>
      <c r="B3" s="36" t="s">
        <v>121</v>
      </c>
      <c r="C3" s="36" t="s">
        <v>122</v>
      </c>
      <c r="D3" s="37">
        <v>46225</v>
      </c>
      <c r="E3" s="36" t="s">
        <v>1323</v>
      </c>
      <c r="F3" s="36"/>
      <c r="G3" s="36"/>
      <c r="H3" s="36" t="s">
        <v>574</v>
      </c>
      <c r="I3" s="36" t="s">
        <v>906</v>
      </c>
      <c r="J3" s="36" t="s">
        <v>1322</v>
      </c>
    </row>
    <row r="4" spans="1:10">
      <c r="A4" s="36">
        <v>3</v>
      </c>
      <c r="B4" s="36" t="s">
        <v>1256</v>
      </c>
      <c r="C4" s="36" t="s">
        <v>131</v>
      </c>
      <c r="D4" s="37">
        <v>46224</v>
      </c>
      <c r="E4" s="36" t="s">
        <v>1324</v>
      </c>
      <c r="F4" s="36" t="s">
        <v>1325</v>
      </c>
      <c r="G4" s="36" t="s">
        <v>1326</v>
      </c>
      <c r="H4" s="36" t="s">
        <v>1327</v>
      </c>
      <c r="I4" s="36" t="s">
        <v>906</v>
      </c>
      <c r="J4" s="36" t="s">
        <v>1322</v>
      </c>
    </row>
    <row r="5" spans="1:10">
      <c r="A5" s="36">
        <v>4</v>
      </c>
      <c r="B5" s="36" t="s">
        <v>1259</v>
      </c>
      <c r="C5" s="36" t="s">
        <v>154</v>
      </c>
      <c r="D5" s="37">
        <v>46224</v>
      </c>
      <c r="E5" s="36" t="s">
        <v>360</v>
      </c>
      <c r="F5" s="36" t="s">
        <v>361</v>
      </c>
      <c r="G5" s="36" t="s">
        <v>1328</v>
      </c>
      <c r="H5" s="36" t="s">
        <v>574</v>
      </c>
      <c r="I5" s="36" t="s">
        <v>906</v>
      </c>
      <c r="J5" s="36" t="s">
        <v>1322</v>
      </c>
    </row>
    <row r="6" spans="1:10">
      <c r="A6" s="36">
        <v>5</v>
      </c>
      <c r="B6" s="36" t="s">
        <v>146</v>
      </c>
      <c r="C6" s="36" t="s">
        <v>147</v>
      </c>
      <c r="D6" s="37">
        <v>46223</v>
      </c>
      <c r="E6" s="36" t="s">
        <v>358</v>
      </c>
      <c r="F6" s="36" t="s">
        <v>1329</v>
      </c>
      <c r="G6" s="36" t="s">
        <v>1330</v>
      </c>
      <c r="H6" s="36" t="s">
        <v>574</v>
      </c>
      <c r="I6" s="36" t="s">
        <v>906</v>
      </c>
      <c r="J6" s="36" t="s">
        <v>1322</v>
      </c>
    </row>
    <row r="7" spans="1:10">
      <c r="A7" s="36">
        <v>6</v>
      </c>
      <c r="B7" s="36" t="s">
        <v>107</v>
      </c>
      <c r="C7" s="36" t="s">
        <v>108</v>
      </c>
      <c r="D7" s="37">
        <v>46224</v>
      </c>
      <c r="E7" s="36" t="s">
        <v>366</v>
      </c>
      <c r="F7" s="36" t="s">
        <v>367</v>
      </c>
      <c r="G7" s="36" t="s">
        <v>1328</v>
      </c>
      <c r="H7" s="36" t="s">
        <v>574</v>
      </c>
      <c r="I7" s="36" t="s">
        <v>906</v>
      </c>
      <c r="J7" s="36" t="s">
        <v>1322</v>
      </c>
    </row>
    <row r="8" spans="1:10">
      <c r="A8" s="36">
        <v>7</v>
      </c>
      <c r="B8" s="36" t="s">
        <v>121</v>
      </c>
      <c r="C8" s="36" t="s">
        <v>122</v>
      </c>
      <c r="D8" s="37">
        <v>46222</v>
      </c>
      <c r="E8" s="36" t="s">
        <v>356</v>
      </c>
      <c r="F8" s="36" t="s">
        <v>357</v>
      </c>
      <c r="G8" s="36" t="s">
        <v>1330</v>
      </c>
      <c r="H8" s="36" t="s">
        <v>574</v>
      </c>
      <c r="I8" s="36" t="s">
        <v>906</v>
      </c>
      <c r="J8" s="36" t="s">
        <v>1322</v>
      </c>
    </row>
    <row r="9" spans="1:10">
      <c r="A9" s="39"/>
      <c r="B9" s="39"/>
      <c r="C9" s="39"/>
      <c r="D9" s="39"/>
      <c r="E9" s="39"/>
      <c r="F9" s="39"/>
      <c r="G9" s="39"/>
      <c r="H9" s="39"/>
      <c r="I9" s="39"/>
      <c r="J9" s="39"/>
    </row>
  </sheetData>
  <pageMargins left="0.75" right="0.75" top="1" bottom="1" header="0.5" footer="0.5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Planilha73">
    <tabColor rgb="FFD4AF37"/>
  </sheetPr>
  <dimension ref="A1:G8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16" customWidth="1"/>
    <col min="2" max="2" width="22" customWidth="1"/>
    <col min="3" max="3" width="12" customWidth="1"/>
    <col min="4" max="4" width="10" customWidth="1"/>
    <col min="5" max="5" width="16" customWidth="1"/>
    <col min="6" max="6" width="14" customWidth="1"/>
    <col min="7" max="7" width="16" customWidth="1"/>
  </cols>
  <sheetData>
    <row r="1" spans="1:7">
      <c r="A1" s="35" t="s">
        <v>73</v>
      </c>
      <c r="B1" s="35" t="s">
        <v>98</v>
      </c>
      <c r="C1" s="35" t="s">
        <v>217</v>
      </c>
      <c r="D1" s="35" t="s">
        <v>1331</v>
      </c>
      <c r="E1" s="35" t="s">
        <v>76</v>
      </c>
      <c r="F1" s="35" t="s">
        <v>1332</v>
      </c>
      <c r="G1" s="35" t="s">
        <v>1083</v>
      </c>
    </row>
    <row r="2" spans="1:7">
      <c r="A2" s="36" t="s">
        <v>107</v>
      </c>
      <c r="B2" s="36" t="s">
        <v>108</v>
      </c>
      <c r="C2" s="37">
        <v>46225</v>
      </c>
      <c r="D2" s="36" t="s">
        <v>1333</v>
      </c>
      <c r="E2" s="36" t="s">
        <v>119</v>
      </c>
      <c r="F2" s="36" t="s">
        <v>266</v>
      </c>
      <c r="G2" s="36" t="s">
        <v>1334</v>
      </c>
    </row>
    <row r="3" spans="1:7">
      <c r="A3" s="36" t="s">
        <v>121</v>
      </c>
      <c r="B3" s="36" t="s">
        <v>122</v>
      </c>
      <c r="C3" s="37">
        <v>46225</v>
      </c>
      <c r="D3" s="36" t="s">
        <v>1333</v>
      </c>
      <c r="E3" s="36" t="s">
        <v>129</v>
      </c>
      <c r="F3" s="36" t="s">
        <v>266</v>
      </c>
      <c r="G3" s="36" t="s">
        <v>1334</v>
      </c>
    </row>
    <row r="4" spans="1:7">
      <c r="A4" s="36" t="s">
        <v>1256</v>
      </c>
      <c r="B4" s="36" t="s">
        <v>131</v>
      </c>
      <c r="C4" s="37">
        <v>46224</v>
      </c>
      <c r="D4" s="36" t="s">
        <v>1333</v>
      </c>
      <c r="E4" s="36" t="s">
        <v>137</v>
      </c>
      <c r="F4" s="36" t="s">
        <v>270</v>
      </c>
      <c r="G4" s="36" t="s">
        <v>1334</v>
      </c>
    </row>
    <row r="5" spans="1:7">
      <c r="A5" s="36" t="s">
        <v>1259</v>
      </c>
      <c r="B5" s="36" t="s">
        <v>154</v>
      </c>
      <c r="C5" s="37">
        <v>46224</v>
      </c>
      <c r="D5" s="36" t="s">
        <v>1333</v>
      </c>
      <c r="E5" s="36" t="s">
        <v>137</v>
      </c>
      <c r="F5" s="36" t="s">
        <v>159</v>
      </c>
      <c r="G5" s="36" t="s">
        <v>1334</v>
      </c>
    </row>
    <row r="6" spans="1:7">
      <c r="A6" s="36" t="s">
        <v>146</v>
      </c>
      <c r="B6" s="36" t="s">
        <v>147</v>
      </c>
      <c r="C6" s="37">
        <v>46223</v>
      </c>
      <c r="D6" s="36" t="s">
        <v>1333</v>
      </c>
      <c r="E6" s="36" t="s">
        <v>152</v>
      </c>
      <c r="F6" s="36" t="s">
        <v>266</v>
      </c>
      <c r="G6" s="36" t="s">
        <v>1334</v>
      </c>
    </row>
    <row r="7" spans="1:7">
      <c r="A7" s="36" t="s">
        <v>107</v>
      </c>
      <c r="B7" s="36" t="s">
        <v>108</v>
      </c>
      <c r="C7" s="37">
        <v>46224</v>
      </c>
      <c r="D7" s="36" t="s">
        <v>1333</v>
      </c>
      <c r="E7" s="36" t="s">
        <v>119</v>
      </c>
      <c r="F7" s="36" t="s">
        <v>266</v>
      </c>
      <c r="G7" s="36" t="s">
        <v>1334</v>
      </c>
    </row>
    <row r="8" spans="1:7">
      <c r="A8" s="39"/>
      <c r="B8" s="39"/>
      <c r="C8" s="39"/>
      <c r="D8" s="39"/>
      <c r="E8" s="39"/>
      <c r="F8" s="39"/>
      <c r="G8" s="39"/>
    </row>
  </sheetData>
  <pageMargins left="0.75" right="0.75" top="1" bottom="1" header="0.5" footer="0.5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Planilha74">
    <tabColor rgb="FFD4AF37"/>
  </sheetPr>
  <dimension ref="A1:O5"/>
  <sheetViews>
    <sheetView workbookViewId="0"/>
  </sheetViews>
  <sheetFormatPr defaultRowHeight="14.4"/>
  <cols>
    <col min="1" max="1" width="6" customWidth="1"/>
    <col min="2" max="2" width="10" customWidth="1"/>
    <col min="3" max="3" width="26" customWidth="1"/>
    <col min="4" max="4" width="8" customWidth="1"/>
    <col min="5" max="5" width="18" customWidth="1"/>
    <col min="6" max="9" width="14" customWidth="1"/>
    <col min="10" max="10" width="22" customWidth="1"/>
    <col min="11" max="12" width="14" customWidth="1"/>
    <col min="13" max="13" width="16" customWidth="1"/>
    <col min="14" max="15" width="14" customWidth="1"/>
  </cols>
  <sheetData>
    <row r="1" spans="1:15">
      <c r="A1" s="67" t="s">
        <v>70</v>
      </c>
      <c r="B1" s="67" t="s">
        <v>96</v>
      </c>
      <c r="C1" s="67" t="s">
        <v>98</v>
      </c>
      <c r="D1" s="67" t="s">
        <v>178</v>
      </c>
      <c r="E1" s="67" t="s">
        <v>771</v>
      </c>
      <c r="F1" s="67" t="s">
        <v>101</v>
      </c>
      <c r="G1" s="67" t="s">
        <v>102</v>
      </c>
      <c r="H1" s="67" t="s">
        <v>84</v>
      </c>
      <c r="I1" s="67" t="s">
        <v>85</v>
      </c>
      <c r="J1" s="67" t="s">
        <v>86</v>
      </c>
      <c r="K1" s="67" t="s">
        <v>89</v>
      </c>
      <c r="L1" s="67" t="s">
        <v>781</v>
      </c>
      <c r="M1" s="67" t="s">
        <v>430</v>
      </c>
      <c r="N1" s="67" t="s">
        <v>106</v>
      </c>
      <c r="O1" s="67" t="s">
        <v>105</v>
      </c>
    </row>
    <row r="2" spans="1:15">
      <c r="A2" s="39">
        <v>1</v>
      </c>
      <c r="B2" s="39">
        <v>1</v>
      </c>
      <c r="C2" s="39" t="s">
        <v>799</v>
      </c>
      <c r="D2" s="39" t="s">
        <v>795</v>
      </c>
      <c r="E2" s="39" t="s">
        <v>1335</v>
      </c>
      <c r="F2" s="39" t="s">
        <v>1336</v>
      </c>
      <c r="G2" s="39" t="s">
        <v>1337</v>
      </c>
      <c r="H2" s="39" t="s">
        <v>1338</v>
      </c>
      <c r="I2" s="39" t="s">
        <v>114</v>
      </c>
      <c r="J2" s="39" t="s">
        <v>1339</v>
      </c>
      <c r="K2" s="39" t="s">
        <v>90</v>
      </c>
      <c r="L2" s="39" t="s">
        <v>782</v>
      </c>
      <c r="M2" s="39" t="s">
        <v>119</v>
      </c>
      <c r="N2" s="39" t="s">
        <v>796</v>
      </c>
      <c r="O2" s="49">
        <v>46225</v>
      </c>
    </row>
    <row r="3" spans="1:15">
      <c r="A3" s="39">
        <v>2</v>
      </c>
      <c r="B3" s="39">
        <v>1</v>
      </c>
      <c r="C3" s="39" t="s">
        <v>1340</v>
      </c>
      <c r="D3" s="39" t="s">
        <v>1341</v>
      </c>
      <c r="E3" s="39" t="s">
        <v>1342</v>
      </c>
      <c r="F3" s="39" t="s">
        <v>1343</v>
      </c>
      <c r="G3" s="39" t="s">
        <v>1344</v>
      </c>
      <c r="H3" s="39" t="s">
        <v>1345</v>
      </c>
      <c r="I3" s="39" t="s">
        <v>1346</v>
      </c>
      <c r="J3" s="39" t="s">
        <v>1347</v>
      </c>
      <c r="K3" s="39" t="s">
        <v>90</v>
      </c>
      <c r="L3" s="39" t="s">
        <v>782</v>
      </c>
      <c r="M3" s="39" t="s">
        <v>129</v>
      </c>
      <c r="N3" s="39" t="s">
        <v>796</v>
      </c>
      <c r="O3" s="49">
        <v>46225</v>
      </c>
    </row>
    <row r="4" spans="1:15">
      <c r="A4" s="39">
        <v>3</v>
      </c>
      <c r="B4" s="39">
        <v>2</v>
      </c>
      <c r="C4" s="39" t="s">
        <v>1348</v>
      </c>
      <c r="D4" s="39" t="s">
        <v>1349</v>
      </c>
      <c r="E4" s="39" t="s">
        <v>1350</v>
      </c>
      <c r="F4" s="39" t="s">
        <v>1351</v>
      </c>
      <c r="G4" s="39" t="s">
        <v>1352</v>
      </c>
      <c r="H4" s="39" t="s">
        <v>1353</v>
      </c>
      <c r="I4" s="39" t="s">
        <v>1354</v>
      </c>
      <c r="J4" s="39" t="s">
        <v>1355</v>
      </c>
      <c r="K4" s="39" t="s">
        <v>1356</v>
      </c>
      <c r="L4" s="39" t="s">
        <v>782</v>
      </c>
      <c r="M4" s="39" t="s">
        <v>1357</v>
      </c>
      <c r="N4" s="39" t="s">
        <v>796</v>
      </c>
      <c r="O4" s="49">
        <v>46225</v>
      </c>
    </row>
    <row r="5" spans="1:15">
      <c r="A5" s="39">
        <v>4</v>
      </c>
      <c r="B5" s="39">
        <v>3</v>
      </c>
      <c r="C5" s="39" t="s">
        <v>1358</v>
      </c>
      <c r="D5" s="39" t="s">
        <v>1359</v>
      </c>
      <c r="E5" s="39" t="s">
        <v>1360</v>
      </c>
      <c r="F5" s="39" t="s">
        <v>1361</v>
      </c>
      <c r="G5" s="39" t="s">
        <v>1362</v>
      </c>
      <c r="H5" s="39" t="s">
        <v>1363</v>
      </c>
      <c r="I5" s="39" t="s">
        <v>1364</v>
      </c>
      <c r="J5" s="39" t="s">
        <v>1365</v>
      </c>
      <c r="K5" s="39" t="s">
        <v>1366</v>
      </c>
      <c r="L5" s="39" t="s">
        <v>782</v>
      </c>
      <c r="M5" s="39" t="s">
        <v>1367</v>
      </c>
      <c r="N5" s="39" t="s">
        <v>796</v>
      </c>
      <c r="O5" s="49">
        <v>46225</v>
      </c>
    </row>
  </sheetData>
  <pageMargins left="0.75" right="0.75" top="1" bottom="1" header="0.5" footer="0.5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Planilha75">
    <tabColor rgb="FFD4AF37"/>
  </sheetPr>
  <dimension ref="A1:D9"/>
  <sheetViews>
    <sheetView workbookViewId="0"/>
  </sheetViews>
  <sheetFormatPr defaultRowHeight="14.4"/>
  <cols>
    <col min="1" max="1" width="6" customWidth="1"/>
    <col min="2" max="4" width="14" customWidth="1"/>
  </cols>
  <sheetData>
    <row r="1" spans="1:4">
      <c r="A1" s="67" t="s">
        <v>70</v>
      </c>
      <c r="B1" s="67" t="s">
        <v>97</v>
      </c>
      <c r="C1" s="67" t="s">
        <v>775</v>
      </c>
      <c r="D1" s="67" t="s">
        <v>180</v>
      </c>
    </row>
    <row r="2" spans="1:4">
      <c r="A2" s="39">
        <v>1</v>
      </c>
      <c r="B2" s="39">
        <v>1</v>
      </c>
      <c r="C2" s="39" t="s">
        <v>1368</v>
      </c>
      <c r="D2" s="39" t="s">
        <v>1369</v>
      </c>
    </row>
    <row r="3" spans="1:4">
      <c r="A3" s="39">
        <v>2</v>
      </c>
      <c r="B3" s="39">
        <v>1</v>
      </c>
      <c r="C3" s="39" t="s">
        <v>1370</v>
      </c>
      <c r="D3" s="39" t="s">
        <v>1371</v>
      </c>
    </row>
    <row r="4" spans="1:4">
      <c r="A4" s="39">
        <v>3</v>
      </c>
      <c r="B4" s="39">
        <v>1</v>
      </c>
      <c r="C4" s="39" t="s">
        <v>986</v>
      </c>
      <c r="D4" s="39" t="s">
        <v>987</v>
      </c>
    </row>
    <row r="5" spans="1:4">
      <c r="A5" s="39">
        <v>4</v>
      </c>
      <c r="B5" s="39">
        <v>1</v>
      </c>
      <c r="C5" s="39" t="s">
        <v>1372</v>
      </c>
      <c r="D5" s="39" t="s">
        <v>1373</v>
      </c>
    </row>
    <row r="6" spans="1:4">
      <c r="A6" s="39">
        <v>5</v>
      </c>
      <c r="B6" s="39">
        <v>2</v>
      </c>
      <c r="C6" s="39" t="s">
        <v>1368</v>
      </c>
      <c r="D6" s="39" t="s">
        <v>1369</v>
      </c>
    </row>
    <row r="7" spans="1:4">
      <c r="A7" s="39">
        <v>6</v>
      </c>
      <c r="B7" s="39">
        <v>2</v>
      </c>
      <c r="C7" s="39" t="s">
        <v>1370</v>
      </c>
      <c r="D7" s="39" t="s">
        <v>1374</v>
      </c>
    </row>
    <row r="8" spans="1:4">
      <c r="A8" s="39">
        <v>7</v>
      </c>
      <c r="B8" s="39">
        <v>2</v>
      </c>
      <c r="C8" s="39" t="s">
        <v>986</v>
      </c>
      <c r="D8" s="39" t="s">
        <v>987</v>
      </c>
    </row>
    <row r="9" spans="1:4">
      <c r="A9" s="39">
        <v>8</v>
      </c>
      <c r="B9" s="39">
        <v>2</v>
      </c>
      <c r="C9" s="39" t="s">
        <v>1372</v>
      </c>
      <c r="D9" s="39" t="s">
        <v>1375</v>
      </c>
    </row>
  </sheetData>
  <pageMargins left="0.75" right="0.75" top="1" bottom="1" header="0.5" footer="0.5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Planilha76">
    <tabColor rgb="FFD4AF37"/>
  </sheetPr>
  <dimension ref="A1:F5"/>
  <sheetViews>
    <sheetView workbookViewId="0"/>
  </sheetViews>
  <sheetFormatPr defaultRowHeight="14.4"/>
  <cols>
    <col min="1" max="1" width="6" customWidth="1"/>
    <col min="2" max="6" width="14" customWidth="1"/>
  </cols>
  <sheetData>
    <row r="1" spans="1:6">
      <c r="A1" s="67" t="s">
        <v>70</v>
      </c>
      <c r="B1" s="67" t="s">
        <v>1376</v>
      </c>
      <c r="C1" s="67" t="s">
        <v>76</v>
      </c>
      <c r="D1" s="67" t="s">
        <v>97</v>
      </c>
      <c r="E1" s="67" t="s">
        <v>1083</v>
      </c>
      <c r="F1" s="67" t="s">
        <v>106</v>
      </c>
    </row>
    <row r="2" spans="1:6">
      <c r="A2" s="39">
        <v>1</v>
      </c>
      <c r="B2" s="39" t="s">
        <v>263</v>
      </c>
      <c r="C2" s="39" t="s">
        <v>119</v>
      </c>
      <c r="D2" s="39">
        <v>1</v>
      </c>
      <c r="E2" s="39" t="s">
        <v>799</v>
      </c>
      <c r="F2" s="39" t="s">
        <v>120</v>
      </c>
    </row>
    <row r="3" spans="1:6">
      <c r="A3" s="39">
        <v>2</v>
      </c>
      <c r="B3" s="39" t="s">
        <v>263</v>
      </c>
      <c r="C3" s="39" t="s">
        <v>119</v>
      </c>
      <c r="D3" s="39">
        <v>2</v>
      </c>
      <c r="E3" s="39" t="s">
        <v>1340</v>
      </c>
      <c r="F3" s="39" t="s">
        <v>120</v>
      </c>
    </row>
    <row r="4" spans="1:6">
      <c r="A4" s="39">
        <v>3</v>
      </c>
      <c r="B4" s="39" t="s">
        <v>267</v>
      </c>
      <c r="C4" s="39" t="s">
        <v>129</v>
      </c>
      <c r="D4" s="39">
        <v>1</v>
      </c>
      <c r="E4" s="39" t="s">
        <v>799</v>
      </c>
      <c r="F4" s="39" t="s">
        <v>120</v>
      </c>
    </row>
    <row r="5" spans="1:6">
      <c r="A5" s="39">
        <v>4</v>
      </c>
      <c r="B5" s="39" t="s">
        <v>271</v>
      </c>
      <c r="C5" s="39" t="s">
        <v>1377</v>
      </c>
      <c r="D5" s="39">
        <v>2</v>
      </c>
      <c r="E5" s="39" t="s">
        <v>1340</v>
      </c>
      <c r="F5" s="39" t="s">
        <v>120</v>
      </c>
    </row>
  </sheetData>
  <pageMargins left="0.75" right="0.75" top="1" bottom="1" header="0.5" footer="0.5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Planilha77">
    <tabColor rgb="FFD4AF37"/>
  </sheetPr>
  <dimension ref="A1:L2"/>
  <sheetViews>
    <sheetView workbookViewId="0"/>
  </sheetViews>
  <sheetFormatPr defaultRowHeight="14.4"/>
  <cols>
    <col min="1" max="1" width="6" customWidth="1"/>
    <col min="2" max="12" width="14" customWidth="1"/>
  </cols>
  <sheetData>
    <row r="1" spans="1:12">
      <c r="A1" s="67" t="s">
        <v>70</v>
      </c>
      <c r="B1" s="67" t="s">
        <v>217</v>
      </c>
      <c r="C1" s="67" t="s">
        <v>178</v>
      </c>
      <c r="D1" s="67" t="s">
        <v>282</v>
      </c>
      <c r="E1" s="67" t="s">
        <v>610</v>
      </c>
      <c r="F1" s="67" t="s">
        <v>1378</v>
      </c>
      <c r="G1" s="67" t="s">
        <v>463</v>
      </c>
      <c r="H1" s="67" t="s">
        <v>1379</v>
      </c>
      <c r="I1" s="67" t="s">
        <v>64</v>
      </c>
      <c r="J1" s="67" t="s">
        <v>898</v>
      </c>
      <c r="K1" s="67" t="s">
        <v>106</v>
      </c>
      <c r="L1" s="67" t="s">
        <v>297</v>
      </c>
    </row>
    <row r="2" spans="1:12">
      <c r="A2" s="39">
        <v>1</v>
      </c>
      <c r="B2" s="80">
        <v>46225</v>
      </c>
      <c r="C2" s="39" t="s">
        <v>1380</v>
      </c>
      <c r="D2" s="39" t="s">
        <v>292</v>
      </c>
      <c r="E2" s="39">
        <v>2</v>
      </c>
      <c r="F2" s="39">
        <v>1</v>
      </c>
      <c r="G2" s="39" t="s">
        <v>799</v>
      </c>
      <c r="H2" s="39">
        <v>2</v>
      </c>
      <c r="I2" s="39" t="s">
        <v>1340</v>
      </c>
      <c r="J2" s="39" t="s">
        <v>785</v>
      </c>
      <c r="K2" s="39" t="s">
        <v>1381</v>
      </c>
      <c r="L2" s="39" t="s">
        <v>1382</v>
      </c>
    </row>
  </sheetData>
  <pageMargins left="0.75" right="0.75" top="1" bottom="1" header="0.5" footer="0.5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Planilha78">
    <tabColor rgb="FFD4AF37"/>
  </sheetPr>
  <dimension ref="A1:F4"/>
  <sheetViews>
    <sheetView workbookViewId="0"/>
  </sheetViews>
  <sheetFormatPr defaultRowHeight="14.4"/>
  <cols>
    <col min="1" max="1" width="6" customWidth="1"/>
    <col min="2" max="6" width="14" customWidth="1"/>
  </cols>
  <sheetData>
    <row r="1" spans="1:6">
      <c r="A1" s="67" t="s">
        <v>70</v>
      </c>
      <c r="B1" s="67" t="s">
        <v>1383</v>
      </c>
      <c r="C1" s="67" t="s">
        <v>898</v>
      </c>
      <c r="D1" s="67" t="s">
        <v>97</v>
      </c>
      <c r="E1" s="67" t="s">
        <v>1083</v>
      </c>
      <c r="F1" s="67" t="s">
        <v>106</v>
      </c>
    </row>
    <row r="2" spans="1:6">
      <c r="A2" s="39">
        <v>1</v>
      </c>
      <c r="B2" s="39">
        <v>2</v>
      </c>
      <c r="C2" s="39" t="s">
        <v>785</v>
      </c>
      <c r="D2" s="39">
        <v>1</v>
      </c>
      <c r="E2" s="39" t="s">
        <v>799</v>
      </c>
      <c r="F2" s="39" t="s">
        <v>120</v>
      </c>
    </row>
    <row r="3" spans="1:6">
      <c r="A3" s="39">
        <v>2</v>
      </c>
      <c r="B3" s="39">
        <v>2</v>
      </c>
      <c r="C3" s="39" t="s">
        <v>785</v>
      </c>
      <c r="D3" s="39">
        <v>2</v>
      </c>
      <c r="E3" s="39" t="s">
        <v>1340</v>
      </c>
      <c r="F3" s="39" t="s">
        <v>120</v>
      </c>
    </row>
    <row r="4" spans="1:6">
      <c r="A4" s="39">
        <v>3</v>
      </c>
      <c r="B4" s="39">
        <v>3</v>
      </c>
      <c r="C4" s="39" t="s">
        <v>907</v>
      </c>
      <c r="D4" s="39">
        <v>1</v>
      </c>
      <c r="E4" s="39" t="s">
        <v>799</v>
      </c>
      <c r="F4" s="39" t="s">
        <v>120</v>
      </c>
    </row>
  </sheetData>
  <pageMargins left="0.75" right="0.75" top="1" bottom="1" header="0.5" footer="0.5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Planilha79">
    <tabColor rgb="FFD4AF37"/>
  </sheetPr>
  <dimension ref="A1:P13"/>
  <sheetViews>
    <sheetView workbookViewId="0"/>
  </sheetViews>
  <sheetFormatPr defaultRowHeight="14.4"/>
  <cols>
    <col min="1" max="1" width="10" customWidth="1"/>
    <col min="2" max="2" width="14" customWidth="1"/>
    <col min="3" max="3" width="20" customWidth="1"/>
    <col min="4" max="4" width="14" customWidth="1"/>
    <col min="5" max="11" width="10" customWidth="1"/>
    <col min="12" max="12" width="14" customWidth="1"/>
    <col min="13" max="13" width="10" customWidth="1"/>
    <col min="14" max="14" width="20" customWidth="1"/>
    <col min="15" max="16" width="10" customWidth="1"/>
  </cols>
  <sheetData>
    <row r="1" spans="1:16">
      <c r="A1" s="67" t="s">
        <v>178</v>
      </c>
      <c r="B1" s="67" t="s">
        <v>1384</v>
      </c>
      <c r="C1" s="67" t="s">
        <v>282</v>
      </c>
      <c r="D1" s="67" t="s">
        <v>239</v>
      </c>
      <c r="E1" s="67" t="s">
        <v>1385</v>
      </c>
      <c r="F1" s="67" t="s">
        <v>1386</v>
      </c>
      <c r="G1" s="67" t="s">
        <v>1387</v>
      </c>
      <c r="H1" s="67" t="s">
        <v>286</v>
      </c>
      <c r="I1" s="67" t="s">
        <v>1388</v>
      </c>
      <c r="J1" s="67" t="s">
        <v>284</v>
      </c>
      <c r="K1" s="67" t="s">
        <v>1389</v>
      </c>
      <c r="L1" s="67" t="s">
        <v>1390</v>
      </c>
      <c r="M1" s="67" t="s">
        <v>106</v>
      </c>
      <c r="N1" s="67" t="s">
        <v>1083</v>
      </c>
      <c r="O1" s="67" t="s">
        <v>97</v>
      </c>
      <c r="P1" s="67" t="s">
        <v>1391</v>
      </c>
    </row>
    <row r="2" spans="1:16">
      <c r="A2" s="39" t="s">
        <v>1380</v>
      </c>
      <c r="B2" s="39" t="s">
        <v>1392</v>
      </c>
      <c r="C2" s="39" t="s">
        <v>292</v>
      </c>
      <c r="D2" s="39" t="s">
        <v>293</v>
      </c>
      <c r="E2" s="39" t="s">
        <v>1393</v>
      </c>
      <c r="F2" s="39" t="s">
        <v>1394</v>
      </c>
      <c r="G2" s="48">
        <v>89.9</v>
      </c>
      <c r="H2" s="48">
        <v>149.9</v>
      </c>
      <c r="I2" s="39">
        <v>20</v>
      </c>
      <c r="J2" s="39">
        <v>5</v>
      </c>
      <c r="K2" s="39">
        <v>50</v>
      </c>
      <c r="L2" s="39" t="s">
        <v>1395</v>
      </c>
      <c r="M2" s="39" t="s">
        <v>120</v>
      </c>
      <c r="N2" s="39" t="s">
        <v>799</v>
      </c>
      <c r="O2" s="39">
        <v>1</v>
      </c>
      <c r="P2" s="39" t="s">
        <v>513</v>
      </c>
    </row>
    <row r="3" spans="1:16">
      <c r="A3" s="39" t="s">
        <v>1396</v>
      </c>
      <c r="B3" s="39" t="s">
        <v>1397</v>
      </c>
      <c r="C3" s="39" t="s">
        <v>299</v>
      </c>
      <c r="D3" s="39" t="s">
        <v>293</v>
      </c>
      <c r="E3" s="39" t="s">
        <v>1393</v>
      </c>
      <c r="F3" s="39" t="s">
        <v>1394</v>
      </c>
      <c r="G3" s="48">
        <v>45</v>
      </c>
      <c r="H3" s="48">
        <v>79.900000000000006</v>
      </c>
      <c r="I3" s="39">
        <v>3</v>
      </c>
      <c r="J3" s="39">
        <v>10</v>
      </c>
      <c r="K3" s="39">
        <v>40</v>
      </c>
      <c r="L3" s="39" t="s">
        <v>1398</v>
      </c>
      <c r="M3" s="39" t="s">
        <v>120</v>
      </c>
      <c r="N3" s="39" t="s">
        <v>799</v>
      </c>
      <c r="O3" s="39">
        <v>1</v>
      </c>
      <c r="P3" s="39" t="s">
        <v>513</v>
      </c>
    </row>
    <row r="4" spans="1:16">
      <c r="A4" s="39" t="s">
        <v>1399</v>
      </c>
      <c r="B4" s="39" t="s">
        <v>1400</v>
      </c>
      <c r="C4" s="39" t="s">
        <v>303</v>
      </c>
      <c r="D4" s="39" t="s">
        <v>1401</v>
      </c>
      <c r="E4" s="39" t="s">
        <v>1402</v>
      </c>
      <c r="F4" s="39" t="s">
        <v>1394</v>
      </c>
      <c r="G4" s="48">
        <v>6.5</v>
      </c>
      <c r="H4" s="48">
        <v>12.9</v>
      </c>
      <c r="I4" s="39">
        <v>40</v>
      </c>
      <c r="J4" s="39">
        <v>10</v>
      </c>
      <c r="K4" s="39">
        <v>100</v>
      </c>
      <c r="L4" s="39" t="s">
        <v>604</v>
      </c>
      <c r="M4" s="39" t="s">
        <v>120</v>
      </c>
      <c r="N4" s="39" t="s">
        <v>799</v>
      </c>
      <c r="O4" s="39">
        <v>1</v>
      </c>
      <c r="P4" s="39" t="s">
        <v>514</v>
      </c>
    </row>
    <row r="5" spans="1:16">
      <c r="A5" s="39" t="s">
        <v>1403</v>
      </c>
      <c r="B5" s="39" t="s">
        <v>1404</v>
      </c>
      <c r="C5" s="39" t="s">
        <v>305</v>
      </c>
      <c r="D5" s="39" t="s">
        <v>1405</v>
      </c>
      <c r="E5" s="39" t="s">
        <v>1406</v>
      </c>
      <c r="F5" s="39" t="s">
        <v>1394</v>
      </c>
      <c r="G5" s="48">
        <v>25</v>
      </c>
      <c r="H5" s="48">
        <v>69.900000000000006</v>
      </c>
      <c r="I5" s="39">
        <v>30</v>
      </c>
      <c r="J5" s="39">
        <v>5</v>
      </c>
      <c r="K5" s="39">
        <v>60</v>
      </c>
      <c r="L5" s="39" t="s">
        <v>1407</v>
      </c>
      <c r="M5" s="39" t="s">
        <v>120</v>
      </c>
      <c r="N5" s="39" t="s">
        <v>799</v>
      </c>
      <c r="O5" s="39">
        <v>1</v>
      </c>
      <c r="P5" s="39" t="s">
        <v>514</v>
      </c>
    </row>
    <row r="6" spans="1:16">
      <c r="A6" s="39" t="s">
        <v>1408</v>
      </c>
      <c r="B6" s="39" t="s">
        <v>1409</v>
      </c>
      <c r="C6" s="39" t="s">
        <v>308</v>
      </c>
      <c r="D6" s="39" t="s">
        <v>1410</v>
      </c>
      <c r="E6" s="39" t="s">
        <v>1411</v>
      </c>
      <c r="F6" s="39" t="s">
        <v>1394</v>
      </c>
      <c r="G6" s="48">
        <v>12</v>
      </c>
      <c r="H6" s="48">
        <v>39.9</v>
      </c>
      <c r="I6" s="39">
        <v>20</v>
      </c>
      <c r="J6" s="39">
        <v>5</v>
      </c>
      <c r="K6" s="39">
        <v>40</v>
      </c>
      <c r="L6" s="39" t="s">
        <v>604</v>
      </c>
      <c r="M6" s="39" t="s">
        <v>120</v>
      </c>
      <c r="N6" s="39" t="s">
        <v>799</v>
      </c>
      <c r="O6" s="39">
        <v>1</v>
      </c>
      <c r="P6" s="39" t="s">
        <v>636</v>
      </c>
    </row>
    <row r="7" spans="1:16">
      <c r="A7" s="39" t="s">
        <v>1412</v>
      </c>
      <c r="B7" s="39" t="s">
        <v>1413</v>
      </c>
      <c r="C7" s="39" t="s">
        <v>311</v>
      </c>
      <c r="D7" s="39" t="s">
        <v>1414</v>
      </c>
      <c r="E7" s="39" t="s">
        <v>1415</v>
      </c>
      <c r="F7" s="39" t="s">
        <v>1416</v>
      </c>
      <c r="G7" s="48">
        <v>18</v>
      </c>
      <c r="H7" s="48">
        <v>49.9</v>
      </c>
      <c r="I7" s="39">
        <v>15</v>
      </c>
      <c r="J7" s="39">
        <v>3</v>
      </c>
      <c r="K7" s="39">
        <v>30</v>
      </c>
      <c r="L7" s="39" t="s">
        <v>1407</v>
      </c>
      <c r="M7" s="39" t="s">
        <v>120</v>
      </c>
      <c r="N7" s="39" t="s">
        <v>799</v>
      </c>
      <c r="O7" s="39">
        <v>1</v>
      </c>
      <c r="P7" s="39" t="s">
        <v>636</v>
      </c>
    </row>
    <row r="8" spans="1:16">
      <c r="A8" s="39" t="s">
        <v>1417</v>
      </c>
      <c r="B8" s="39" t="s">
        <v>1418</v>
      </c>
      <c r="C8" s="39" t="s">
        <v>1419</v>
      </c>
      <c r="D8" s="39" t="s">
        <v>293</v>
      </c>
      <c r="E8" s="39" t="s">
        <v>1393</v>
      </c>
      <c r="F8" s="39" t="s">
        <v>1394</v>
      </c>
      <c r="G8" s="48">
        <v>55</v>
      </c>
      <c r="H8" s="48">
        <v>99.9</v>
      </c>
      <c r="I8" s="39">
        <v>12</v>
      </c>
      <c r="J8" s="39">
        <v>4</v>
      </c>
      <c r="K8" s="39">
        <v>30</v>
      </c>
      <c r="L8" s="39" t="s">
        <v>1420</v>
      </c>
      <c r="M8" s="39" t="s">
        <v>120</v>
      </c>
      <c r="N8" s="39" t="s">
        <v>799</v>
      </c>
      <c r="O8" s="39">
        <v>1</v>
      </c>
      <c r="P8" s="39" t="s">
        <v>513</v>
      </c>
    </row>
    <row r="9" spans="1:16">
      <c r="A9" s="39" t="s">
        <v>1421</v>
      </c>
      <c r="B9" s="39" t="s">
        <v>1422</v>
      </c>
      <c r="C9" s="39" t="s">
        <v>1423</v>
      </c>
      <c r="D9" s="39" t="s">
        <v>1424</v>
      </c>
      <c r="E9" s="39" t="s">
        <v>1425</v>
      </c>
      <c r="F9" s="39" t="s">
        <v>1394</v>
      </c>
      <c r="G9" s="48">
        <v>8</v>
      </c>
      <c r="H9" s="48">
        <v>29.9</v>
      </c>
      <c r="I9" s="39">
        <v>25</v>
      </c>
      <c r="J9" s="39">
        <v>5</v>
      </c>
      <c r="K9" s="39">
        <v>50</v>
      </c>
      <c r="L9" s="39" t="s">
        <v>604</v>
      </c>
      <c r="M9" s="39" t="s">
        <v>120</v>
      </c>
      <c r="N9" s="39" t="s">
        <v>799</v>
      </c>
      <c r="O9" s="39">
        <v>1</v>
      </c>
      <c r="P9" s="39" t="s">
        <v>636</v>
      </c>
    </row>
    <row r="10" spans="1:16">
      <c r="A10" s="39" t="s">
        <v>1426</v>
      </c>
      <c r="B10" s="39" t="s">
        <v>1427</v>
      </c>
      <c r="C10" s="39" t="s">
        <v>1428</v>
      </c>
      <c r="D10" s="39" t="s">
        <v>1429</v>
      </c>
      <c r="E10" s="39" t="s">
        <v>1430</v>
      </c>
      <c r="F10" s="39" t="s">
        <v>1394</v>
      </c>
      <c r="G10" s="48">
        <v>1.2</v>
      </c>
      <c r="H10" s="48">
        <v>4</v>
      </c>
      <c r="I10" s="39">
        <v>80</v>
      </c>
      <c r="J10" s="39">
        <v>20</v>
      </c>
      <c r="K10" s="39">
        <v>200</v>
      </c>
      <c r="L10" s="39" t="s">
        <v>1431</v>
      </c>
      <c r="M10" s="39" t="s">
        <v>120</v>
      </c>
      <c r="N10" s="39" t="s">
        <v>799</v>
      </c>
      <c r="O10" s="39">
        <v>1</v>
      </c>
      <c r="P10" s="39" t="s">
        <v>514</v>
      </c>
    </row>
    <row r="11" spans="1:16">
      <c r="A11" s="39" t="s">
        <v>1432</v>
      </c>
      <c r="B11" s="39" t="s">
        <v>1433</v>
      </c>
      <c r="C11" s="39" t="s">
        <v>1434</v>
      </c>
      <c r="D11" s="39" t="s">
        <v>1435</v>
      </c>
      <c r="E11" s="39" t="s">
        <v>1436</v>
      </c>
      <c r="F11" s="39" t="s">
        <v>1394</v>
      </c>
      <c r="G11" s="48">
        <v>22</v>
      </c>
      <c r="H11" s="48">
        <v>49.9</v>
      </c>
      <c r="I11" s="39">
        <v>8</v>
      </c>
      <c r="J11" s="39">
        <v>5</v>
      </c>
      <c r="K11" s="39">
        <v>25</v>
      </c>
      <c r="L11" s="39" t="s">
        <v>1437</v>
      </c>
      <c r="M11" s="39" t="s">
        <v>120</v>
      </c>
      <c r="N11" s="39" t="s">
        <v>799</v>
      </c>
      <c r="O11" s="39">
        <v>1</v>
      </c>
      <c r="P11" s="39" t="s">
        <v>514</v>
      </c>
    </row>
    <row r="12" spans="1:16">
      <c r="A12" s="39" t="s">
        <v>1380</v>
      </c>
      <c r="B12" s="39" t="s">
        <v>1392</v>
      </c>
      <c r="C12" s="39" t="s">
        <v>292</v>
      </c>
      <c r="D12" s="39" t="s">
        <v>293</v>
      </c>
      <c r="E12" s="39" t="s">
        <v>1393</v>
      </c>
      <c r="F12" s="39" t="s">
        <v>1394</v>
      </c>
      <c r="G12" s="48">
        <v>89.9</v>
      </c>
      <c r="H12" s="48">
        <v>149.9</v>
      </c>
      <c r="I12" s="39">
        <v>8</v>
      </c>
      <c r="J12" s="39">
        <v>3</v>
      </c>
      <c r="K12" s="39">
        <v>30</v>
      </c>
      <c r="L12" s="39" t="s">
        <v>1395</v>
      </c>
      <c r="M12" s="39" t="s">
        <v>120</v>
      </c>
      <c r="N12" s="39" t="s">
        <v>1340</v>
      </c>
      <c r="O12" s="39">
        <v>2</v>
      </c>
      <c r="P12" s="39" t="s">
        <v>513</v>
      </c>
    </row>
    <row r="13" spans="1:16">
      <c r="A13" s="39" t="s">
        <v>1399</v>
      </c>
      <c r="B13" s="39" t="s">
        <v>1400</v>
      </c>
      <c r="C13" s="39" t="s">
        <v>303</v>
      </c>
      <c r="D13" s="39" t="s">
        <v>1401</v>
      </c>
      <c r="E13" s="39" t="s">
        <v>1402</v>
      </c>
      <c r="F13" s="39" t="s">
        <v>1394</v>
      </c>
      <c r="G13" s="48">
        <v>6.5</v>
      </c>
      <c r="H13" s="48">
        <v>12.9</v>
      </c>
      <c r="I13" s="39">
        <v>15</v>
      </c>
      <c r="J13" s="39">
        <v>5</v>
      </c>
      <c r="K13" s="39">
        <v>50</v>
      </c>
      <c r="L13" s="39" t="s">
        <v>604</v>
      </c>
      <c r="M13" s="39" t="s">
        <v>120</v>
      </c>
      <c r="N13" s="39" t="s">
        <v>1340</v>
      </c>
      <c r="O13" s="39">
        <v>2</v>
      </c>
      <c r="P13" s="39" t="s">
        <v>514</v>
      </c>
    </row>
  </sheetData>
  <pageMargins left="0.75" right="0.75" top="1" bottom="1" header="0.5" footer="0.5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Planilha80">
    <tabColor rgb="FFD4AF37"/>
  </sheetPr>
  <dimension ref="A1:H3"/>
  <sheetViews>
    <sheetView workbookViewId="0"/>
  </sheetViews>
  <sheetFormatPr defaultRowHeight="14.4"/>
  <cols>
    <col min="1" max="1" width="10" customWidth="1"/>
    <col min="2" max="2" width="28" customWidth="1"/>
    <col min="3" max="3" width="18" customWidth="1"/>
    <col min="4" max="4" width="12" customWidth="1"/>
    <col min="5" max="5" width="14" customWidth="1"/>
    <col min="6" max="6" width="20" customWidth="1"/>
    <col min="7" max="7" width="12" customWidth="1"/>
    <col min="8" max="8" width="14" customWidth="1"/>
  </cols>
  <sheetData>
    <row r="1" spans="1:8">
      <c r="A1" s="67" t="s">
        <v>178</v>
      </c>
      <c r="B1" s="67" t="s">
        <v>774</v>
      </c>
      <c r="C1" s="67" t="s">
        <v>771</v>
      </c>
      <c r="D1" s="67" t="s">
        <v>1054</v>
      </c>
      <c r="E1" s="67" t="s">
        <v>101</v>
      </c>
      <c r="F1" s="67" t="s">
        <v>1438</v>
      </c>
      <c r="G1" s="67" t="s">
        <v>89</v>
      </c>
      <c r="H1" s="67" t="s">
        <v>1439</v>
      </c>
    </row>
    <row r="2" spans="1:8">
      <c r="A2" s="39" t="s">
        <v>1440</v>
      </c>
      <c r="B2" s="39" t="s">
        <v>1441</v>
      </c>
      <c r="C2" s="39" t="s">
        <v>1335</v>
      </c>
      <c r="D2" s="39" t="s">
        <v>1442</v>
      </c>
      <c r="E2" s="39" t="s">
        <v>1443</v>
      </c>
      <c r="F2" s="39" t="s">
        <v>1444</v>
      </c>
      <c r="G2" s="39" t="s">
        <v>90</v>
      </c>
      <c r="H2" s="39" t="s">
        <v>652</v>
      </c>
    </row>
    <row r="3" spans="1:8">
      <c r="A3" s="39" t="s">
        <v>1445</v>
      </c>
      <c r="B3" s="39" t="s">
        <v>1446</v>
      </c>
      <c r="C3" s="39" t="s">
        <v>1447</v>
      </c>
      <c r="D3" s="39" t="s">
        <v>1448</v>
      </c>
      <c r="E3" s="39" t="s">
        <v>1449</v>
      </c>
      <c r="F3" s="39" t="s">
        <v>1450</v>
      </c>
      <c r="G3" s="39" t="s">
        <v>1451</v>
      </c>
      <c r="H3" s="39" t="s">
        <v>1452</v>
      </c>
    </row>
  </sheetData>
  <pageMargins left="0.75" right="0.75" top="1" bottom="1" header="0.5" footer="0.5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Planilha81">
    <tabColor rgb="FFD4AF37"/>
  </sheetPr>
  <dimension ref="A1:J3"/>
  <sheetViews>
    <sheetView workbookViewId="0"/>
  </sheetViews>
  <sheetFormatPr defaultRowHeight="14.4"/>
  <cols>
    <col min="1" max="1" width="6" customWidth="1"/>
    <col min="2" max="2" width="10" customWidth="1"/>
    <col min="3" max="3" width="20" customWidth="1"/>
    <col min="4" max="6" width="10" customWidth="1"/>
    <col min="7" max="7" width="24" customWidth="1"/>
    <col min="8" max="8" width="12" customWidth="1"/>
    <col min="9" max="9" width="20" customWidth="1"/>
    <col min="10" max="10" width="10" customWidth="1"/>
  </cols>
  <sheetData>
    <row r="1" spans="1:10">
      <c r="A1" s="67" t="s">
        <v>70</v>
      </c>
      <c r="B1" s="67" t="s">
        <v>1453</v>
      </c>
      <c r="C1" s="67" t="s">
        <v>282</v>
      </c>
      <c r="D1" s="67" t="s">
        <v>178</v>
      </c>
      <c r="E1" s="67" t="s">
        <v>295</v>
      </c>
      <c r="F1" s="67" t="s">
        <v>180</v>
      </c>
      <c r="G1" s="67" t="s">
        <v>237</v>
      </c>
      <c r="H1" s="67" t="s">
        <v>217</v>
      </c>
      <c r="I1" s="67" t="s">
        <v>1083</v>
      </c>
      <c r="J1" s="67" t="s">
        <v>97</v>
      </c>
    </row>
    <row r="2" spans="1:10">
      <c r="A2" s="39">
        <v>1</v>
      </c>
      <c r="B2" s="39" t="s">
        <v>1454</v>
      </c>
      <c r="C2" s="39" t="s">
        <v>292</v>
      </c>
      <c r="D2" s="39" t="s">
        <v>1380</v>
      </c>
      <c r="E2" s="39">
        <v>10</v>
      </c>
      <c r="F2" s="48">
        <v>899</v>
      </c>
      <c r="G2" s="39" t="s">
        <v>1441</v>
      </c>
      <c r="H2" s="49">
        <v>46215</v>
      </c>
      <c r="I2" s="39" t="s">
        <v>799</v>
      </c>
      <c r="J2" s="39">
        <v>1</v>
      </c>
    </row>
    <row r="3" spans="1:10">
      <c r="A3" s="39">
        <v>2</v>
      </c>
      <c r="B3" s="39" t="s">
        <v>1454</v>
      </c>
      <c r="C3" s="39" t="s">
        <v>299</v>
      </c>
      <c r="D3" s="39" t="s">
        <v>1396</v>
      </c>
      <c r="E3" s="39">
        <v>15</v>
      </c>
      <c r="F3" s="48">
        <v>675</v>
      </c>
      <c r="G3" s="39" t="s">
        <v>1441</v>
      </c>
      <c r="H3" s="49">
        <v>46215</v>
      </c>
      <c r="I3" s="39" t="s">
        <v>799</v>
      </c>
      <c r="J3" s="39">
        <v>1</v>
      </c>
    </row>
  </sheetData>
  <pageMargins left="0.75" right="0.75" top="1" bottom="1" header="0.5" footer="0.5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Planilha82">
    <tabColor rgb="FFD4AF37"/>
  </sheetPr>
  <dimension ref="A1:J5"/>
  <sheetViews>
    <sheetView workbookViewId="0"/>
  </sheetViews>
  <sheetFormatPr defaultRowHeight="14.4"/>
  <cols>
    <col min="1" max="1" width="6" customWidth="1"/>
    <col min="2" max="2" width="12" customWidth="1"/>
    <col min="3" max="3" width="20" customWidth="1"/>
    <col min="4" max="4" width="10" customWidth="1"/>
    <col min="5" max="5" width="12" customWidth="1"/>
    <col min="6" max="6" width="10" customWidth="1"/>
    <col min="7" max="7" width="12" customWidth="1"/>
    <col min="8" max="8" width="16" customWidth="1"/>
    <col min="9" max="9" width="20" customWidth="1"/>
    <col min="10" max="10" width="10" customWidth="1"/>
  </cols>
  <sheetData>
    <row r="1" spans="1:10">
      <c r="A1" s="67" t="s">
        <v>70</v>
      </c>
      <c r="B1" s="67" t="s">
        <v>217</v>
      </c>
      <c r="C1" s="67" t="s">
        <v>282</v>
      </c>
      <c r="D1" s="67" t="s">
        <v>178</v>
      </c>
      <c r="E1" s="67" t="s">
        <v>294</v>
      </c>
      <c r="F1" s="67" t="s">
        <v>295</v>
      </c>
      <c r="G1" s="67" t="s">
        <v>898</v>
      </c>
      <c r="H1" s="67" t="s">
        <v>297</v>
      </c>
      <c r="I1" s="67" t="s">
        <v>1083</v>
      </c>
      <c r="J1" s="67" t="s">
        <v>97</v>
      </c>
    </row>
    <row r="2" spans="1:10">
      <c r="A2" s="39">
        <v>1</v>
      </c>
      <c r="B2" s="49">
        <v>46215</v>
      </c>
      <c r="C2" s="39" t="s">
        <v>292</v>
      </c>
      <c r="D2" s="39" t="s">
        <v>1380</v>
      </c>
      <c r="E2" s="39" t="s">
        <v>346</v>
      </c>
      <c r="F2" s="39">
        <v>10</v>
      </c>
      <c r="G2" s="39" t="s">
        <v>1455</v>
      </c>
      <c r="H2" s="39" t="s">
        <v>1456</v>
      </c>
      <c r="I2" s="39" t="s">
        <v>799</v>
      </c>
      <c r="J2" s="39">
        <v>1</v>
      </c>
    </row>
    <row r="3" spans="1:10">
      <c r="A3" s="39">
        <v>2</v>
      </c>
      <c r="B3" s="49">
        <v>46215</v>
      </c>
      <c r="C3" s="39" t="s">
        <v>299</v>
      </c>
      <c r="D3" s="39" t="s">
        <v>1396</v>
      </c>
      <c r="E3" s="39" t="s">
        <v>346</v>
      </c>
      <c r="F3" s="39">
        <v>15</v>
      </c>
      <c r="G3" s="39" t="s">
        <v>1455</v>
      </c>
      <c r="H3" s="39" t="s">
        <v>1456</v>
      </c>
      <c r="I3" s="39" t="s">
        <v>799</v>
      </c>
      <c r="J3" s="39">
        <v>1</v>
      </c>
    </row>
    <row r="4" spans="1:10">
      <c r="A4" s="39">
        <v>3</v>
      </c>
      <c r="B4" s="49">
        <v>46224</v>
      </c>
      <c r="C4" s="39" t="s">
        <v>299</v>
      </c>
      <c r="D4" s="39" t="s">
        <v>1396</v>
      </c>
      <c r="E4" s="39" t="s">
        <v>1457</v>
      </c>
      <c r="F4" s="39">
        <v>2</v>
      </c>
      <c r="G4" s="39" t="s">
        <v>906</v>
      </c>
      <c r="H4" s="39" t="s">
        <v>1458</v>
      </c>
      <c r="I4" s="39" t="s">
        <v>799</v>
      </c>
      <c r="J4" s="39">
        <v>1</v>
      </c>
    </row>
    <row r="5" spans="1:10">
      <c r="A5" s="39">
        <v>4</v>
      </c>
      <c r="B5" s="49">
        <v>46225</v>
      </c>
      <c r="C5" s="39" t="s">
        <v>303</v>
      </c>
      <c r="D5" s="39" t="s">
        <v>1399</v>
      </c>
      <c r="E5" s="39" t="s">
        <v>1457</v>
      </c>
      <c r="F5" s="39">
        <v>3</v>
      </c>
      <c r="G5" s="39" t="s">
        <v>906</v>
      </c>
      <c r="H5" s="39" t="s">
        <v>1458</v>
      </c>
      <c r="I5" s="39" t="s">
        <v>799</v>
      </c>
      <c r="J5" s="39">
        <v>1</v>
      </c>
    </row>
  </sheetData>
  <pageMargins left="0.75" right="0.75" top="1" bottom="1" header="0.5" footer="0.5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Planilha83">
    <tabColor rgb="FFD4AF37"/>
  </sheetPr>
  <dimension ref="A1:H4"/>
  <sheetViews>
    <sheetView workbookViewId="0"/>
  </sheetViews>
  <sheetFormatPr defaultRowHeight="14.4"/>
  <cols>
    <col min="1" max="1" width="6" customWidth="1"/>
    <col min="2" max="2" width="10" customWidth="1"/>
    <col min="3" max="3" width="20" customWidth="1"/>
    <col min="4" max="6" width="12" customWidth="1"/>
    <col min="7" max="8" width="10" customWidth="1"/>
  </cols>
  <sheetData>
    <row r="1" spans="1:8">
      <c r="A1" s="67" t="s">
        <v>70</v>
      </c>
      <c r="B1" s="67" t="s">
        <v>178</v>
      </c>
      <c r="C1" s="67" t="s">
        <v>282</v>
      </c>
      <c r="D1" s="67" t="s">
        <v>1459</v>
      </c>
      <c r="E1" s="67" t="s">
        <v>1460</v>
      </c>
      <c r="F1" s="67" t="s">
        <v>1461</v>
      </c>
      <c r="G1" s="67" t="s">
        <v>295</v>
      </c>
      <c r="H1" s="67" t="s">
        <v>106</v>
      </c>
    </row>
    <row r="2" spans="1:8">
      <c r="A2" s="39">
        <v>1</v>
      </c>
      <c r="B2" s="39" t="s">
        <v>1380</v>
      </c>
      <c r="C2" s="39" t="s">
        <v>292</v>
      </c>
      <c r="D2" s="39" t="s">
        <v>1462</v>
      </c>
      <c r="E2" s="49">
        <v>46165</v>
      </c>
      <c r="F2" s="49">
        <v>46525</v>
      </c>
      <c r="G2" s="39">
        <v>20</v>
      </c>
      <c r="H2" s="39" t="s">
        <v>1463</v>
      </c>
    </row>
    <row r="3" spans="1:8">
      <c r="A3" s="39">
        <v>2</v>
      </c>
      <c r="B3" s="39" t="s">
        <v>1396</v>
      </c>
      <c r="C3" s="39" t="s">
        <v>299</v>
      </c>
      <c r="D3" s="39" t="s">
        <v>1464</v>
      </c>
      <c r="E3" s="49">
        <v>46195</v>
      </c>
      <c r="F3" s="49">
        <v>46245</v>
      </c>
      <c r="G3" s="39">
        <v>3</v>
      </c>
      <c r="H3" s="39" t="s">
        <v>1465</v>
      </c>
    </row>
    <row r="4" spans="1:8">
      <c r="A4" s="39">
        <v>3</v>
      </c>
      <c r="B4" s="39" t="s">
        <v>1432</v>
      </c>
      <c r="C4" s="39" t="s">
        <v>1434</v>
      </c>
      <c r="D4" s="39" t="s">
        <v>1466</v>
      </c>
      <c r="E4" s="49">
        <v>46135</v>
      </c>
      <c r="F4" s="49">
        <v>46270</v>
      </c>
      <c r="G4" s="39">
        <v>8</v>
      </c>
      <c r="H4" s="39" t="s">
        <v>1463</v>
      </c>
    </row>
  </sheetData>
  <pageMargins left="0.75" right="0.75" top="1" bottom="1" header="0.5" footer="0.5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Planilha84">
    <tabColor rgb="FFD4AF37"/>
  </sheetPr>
  <dimension ref="A1:N3"/>
  <sheetViews>
    <sheetView workbookViewId="0"/>
  </sheetViews>
  <sheetFormatPr defaultRowHeight="14.4"/>
  <cols>
    <col min="1" max="1" width="6" customWidth="1"/>
    <col min="2" max="2" width="12" customWidth="1"/>
    <col min="3" max="4" width="14" customWidth="1"/>
    <col min="5" max="5" width="8" customWidth="1"/>
    <col min="6" max="9" width="10" customWidth="1"/>
    <col min="10" max="12" width="12" customWidth="1"/>
    <col min="13" max="13" width="20" customWidth="1"/>
    <col min="14" max="14" width="10" customWidth="1"/>
  </cols>
  <sheetData>
    <row r="1" spans="1:14">
      <c r="A1" s="67" t="s">
        <v>70</v>
      </c>
      <c r="B1" s="67" t="s">
        <v>217</v>
      </c>
      <c r="C1" s="67" t="s">
        <v>613</v>
      </c>
      <c r="D1" s="67" t="s">
        <v>73</v>
      </c>
      <c r="E1" s="67" t="s">
        <v>1467</v>
      </c>
      <c r="F1" s="67" t="s">
        <v>614</v>
      </c>
      <c r="G1" s="67" t="s">
        <v>1387</v>
      </c>
      <c r="H1" s="67" t="s">
        <v>60</v>
      </c>
      <c r="I1" s="67" t="s">
        <v>200</v>
      </c>
      <c r="J1" s="67" t="s">
        <v>106</v>
      </c>
      <c r="K1" s="67" t="s">
        <v>898</v>
      </c>
      <c r="L1" s="67" t="s">
        <v>1468</v>
      </c>
      <c r="M1" s="67" t="s">
        <v>1083</v>
      </c>
      <c r="N1" s="67" t="s">
        <v>97</v>
      </c>
    </row>
    <row r="2" spans="1:14">
      <c r="A2" s="39">
        <v>1</v>
      </c>
      <c r="B2" s="49">
        <v>46224</v>
      </c>
      <c r="C2" s="39" t="s">
        <v>604</v>
      </c>
      <c r="D2" s="39"/>
      <c r="E2" s="39">
        <v>1</v>
      </c>
      <c r="F2" s="48">
        <v>159.80000000000001</v>
      </c>
      <c r="G2" s="48">
        <v>90</v>
      </c>
      <c r="H2" s="48">
        <v>69.8</v>
      </c>
      <c r="I2" s="39" t="s">
        <v>79</v>
      </c>
      <c r="J2" s="39" t="s">
        <v>1469</v>
      </c>
      <c r="K2" s="39" t="s">
        <v>906</v>
      </c>
      <c r="L2" s="39" t="s">
        <v>884</v>
      </c>
      <c r="M2" s="39" t="s">
        <v>799</v>
      </c>
      <c r="N2" s="39">
        <v>1</v>
      </c>
    </row>
    <row r="3" spans="1:14">
      <c r="A3" s="39">
        <v>2</v>
      </c>
      <c r="B3" s="49">
        <v>46225</v>
      </c>
      <c r="C3" s="39" t="s">
        <v>604</v>
      </c>
      <c r="D3" s="39"/>
      <c r="E3" s="39">
        <v>1</v>
      </c>
      <c r="F3" s="48">
        <v>38.700000000000003</v>
      </c>
      <c r="G3" s="48">
        <v>19.5</v>
      </c>
      <c r="H3" s="48">
        <v>19.2</v>
      </c>
      <c r="I3" s="39" t="s">
        <v>852</v>
      </c>
      <c r="J3" s="39" t="s">
        <v>1469</v>
      </c>
      <c r="K3" s="39" t="s">
        <v>906</v>
      </c>
      <c r="L3" s="39" t="s">
        <v>884</v>
      </c>
      <c r="M3" s="39" t="s">
        <v>799</v>
      </c>
      <c r="N3" s="39">
        <v>1</v>
      </c>
    </row>
  </sheetData>
  <pageMargins left="0.75" right="0.75" top="1" bottom="1" header="0.5" footer="0.5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Planilha85">
    <tabColor rgb="FFD4AF37"/>
  </sheetPr>
  <dimension ref="A1:H3"/>
  <sheetViews>
    <sheetView workbookViewId="0"/>
  </sheetViews>
  <sheetFormatPr defaultRowHeight="14.4"/>
  <cols>
    <col min="1" max="1" width="6" customWidth="1"/>
    <col min="2" max="3" width="10" customWidth="1"/>
    <col min="4" max="4" width="20" customWidth="1"/>
    <col min="5" max="5" width="8" customWidth="1"/>
    <col min="6" max="8" width="10" customWidth="1"/>
  </cols>
  <sheetData>
    <row r="1" spans="1:8">
      <c r="A1" s="67" t="s">
        <v>70</v>
      </c>
      <c r="B1" s="67" t="s">
        <v>1470</v>
      </c>
      <c r="C1" s="67" t="s">
        <v>178</v>
      </c>
      <c r="D1" s="67" t="s">
        <v>282</v>
      </c>
      <c r="E1" s="67" t="s">
        <v>610</v>
      </c>
      <c r="F1" s="67" t="s">
        <v>607</v>
      </c>
      <c r="G1" s="67" t="s">
        <v>611</v>
      </c>
      <c r="H1" s="67" t="s">
        <v>1387</v>
      </c>
    </row>
    <row r="2" spans="1:8">
      <c r="A2" s="39">
        <v>1</v>
      </c>
      <c r="B2" s="39">
        <v>1</v>
      </c>
      <c r="C2" s="39" t="s">
        <v>1396</v>
      </c>
      <c r="D2" s="39" t="s">
        <v>299</v>
      </c>
      <c r="E2" s="39">
        <v>2</v>
      </c>
      <c r="F2" s="48">
        <v>79.900000000000006</v>
      </c>
      <c r="G2" s="48">
        <v>159.80000000000001</v>
      </c>
      <c r="H2" s="48">
        <v>90</v>
      </c>
    </row>
    <row r="3" spans="1:8">
      <c r="A3" s="39">
        <v>2</v>
      </c>
      <c r="B3" s="39">
        <v>2</v>
      </c>
      <c r="C3" s="39" t="s">
        <v>1399</v>
      </c>
      <c r="D3" s="39" t="s">
        <v>303</v>
      </c>
      <c r="E3" s="39">
        <v>3</v>
      </c>
      <c r="F3" s="48">
        <v>12.9</v>
      </c>
      <c r="G3" s="48">
        <v>38.700000000000003</v>
      </c>
      <c r="H3" s="48">
        <v>19.5</v>
      </c>
    </row>
  </sheetData>
  <pageMargins left="0.75" right="0.75" top="1" bottom="1" header="0.5" footer="0.5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Planilha86">
    <tabColor rgb="FFD4AF37"/>
  </sheetPr>
  <dimension ref="A1:D2"/>
  <sheetViews>
    <sheetView workbookViewId="0"/>
  </sheetViews>
  <sheetFormatPr defaultRowHeight="14.4"/>
  <cols>
    <col min="1" max="1" width="10" customWidth="1"/>
    <col min="2" max="2" width="18" customWidth="1"/>
    <col min="3" max="4" width="10" customWidth="1"/>
  </cols>
  <sheetData>
    <row r="1" spans="1:4">
      <c r="A1" s="67" t="s">
        <v>178</v>
      </c>
      <c r="B1" s="67" t="s">
        <v>1471</v>
      </c>
      <c r="C1" s="67" t="s">
        <v>607</v>
      </c>
      <c r="D1" s="67" t="s">
        <v>106</v>
      </c>
    </row>
    <row r="2" spans="1:4">
      <c r="A2" s="39" t="s">
        <v>1472</v>
      </c>
      <c r="B2" s="39" t="s">
        <v>1473</v>
      </c>
      <c r="C2" s="48">
        <v>239.9</v>
      </c>
      <c r="D2" s="39" t="s">
        <v>120</v>
      </c>
    </row>
  </sheetData>
  <pageMargins left="0.75" right="0.75" top="1" bottom="1" header="0.5" footer="0.5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Planilha87">
    <tabColor rgb="FFD4AF37"/>
  </sheetPr>
  <dimension ref="A1:D4"/>
  <sheetViews>
    <sheetView workbookViewId="0"/>
  </sheetViews>
  <sheetFormatPr defaultRowHeight="14.4"/>
  <cols>
    <col min="1" max="1" width="10" customWidth="1"/>
    <col min="2" max="2" width="12" customWidth="1"/>
    <col min="3" max="3" width="20" customWidth="1"/>
    <col min="4" max="4" width="8" customWidth="1"/>
  </cols>
  <sheetData>
    <row r="1" spans="1:4">
      <c r="A1" s="67" t="s">
        <v>1474</v>
      </c>
      <c r="B1" s="67" t="s">
        <v>1475</v>
      </c>
      <c r="C1" s="67" t="s">
        <v>282</v>
      </c>
      <c r="D1" s="67" t="s">
        <v>610</v>
      </c>
    </row>
    <row r="2" spans="1:4">
      <c r="A2" s="39" t="s">
        <v>1472</v>
      </c>
      <c r="B2" s="39" t="s">
        <v>1380</v>
      </c>
      <c r="C2" s="39" t="s">
        <v>292</v>
      </c>
      <c r="D2" s="39">
        <v>1</v>
      </c>
    </row>
    <row r="3" spans="1:4">
      <c r="A3" s="39" t="s">
        <v>1472</v>
      </c>
      <c r="B3" s="39" t="s">
        <v>1396</v>
      </c>
      <c r="C3" s="39" t="s">
        <v>299</v>
      </c>
      <c r="D3" s="39">
        <v>1</v>
      </c>
    </row>
    <row r="4" spans="1:4">
      <c r="A4" s="39" t="s">
        <v>1472</v>
      </c>
      <c r="B4" s="39" t="s">
        <v>1421</v>
      </c>
      <c r="C4" s="39" t="s">
        <v>1423</v>
      </c>
      <c r="D4" s="39">
        <v>1</v>
      </c>
    </row>
  </sheetData>
  <pageMargins left="0.75" right="0.75" top="1" bottom="1" header="0.5" footer="0.5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Planilha88">
    <tabColor rgb="FFD4AF37"/>
  </sheetPr>
  <dimension ref="A1:G11"/>
  <sheetViews>
    <sheetView workbookViewId="0"/>
  </sheetViews>
  <sheetFormatPr defaultRowHeight="14.4"/>
  <cols>
    <col min="1" max="1" width="16" customWidth="1"/>
    <col min="2" max="2" width="12" customWidth="1"/>
    <col min="3" max="5" width="10" customWidth="1"/>
    <col min="6" max="6" width="14" customWidth="1"/>
    <col min="7" max="7" width="12" customWidth="1"/>
  </cols>
  <sheetData>
    <row r="1" spans="1:7">
      <c r="A1" s="67" t="s">
        <v>50</v>
      </c>
      <c r="B1" s="67" t="s">
        <v>1476</v>
      </c>
      <c r="C1" s="67" t="s">
        <v>40</v>
      </c>
      <c r="D1" s="67" t="s">
        <v>659</v>
      </c>
      <c r="E1" s="67" t="s">
        <v>682</v>
      </c>
      <c r="F1" s="67" t="s">
        <v>1477</v>
      </c>
      <c r="G1" s="67" t="s">
        <v>1084</v>
      </c>
    </row>
    <row r="2" spans="1:7">
      <c r="A2" s="39" t="s">
        <v>58</v>
      </c>
      <c r="B2" s="39">
        <v>0</v>
      </c>
      <c r="C2" s="39">
        <v>50000</v>
      </c>
      <c r="D2" s="39" t="s">
        <v>1478</v>
      </c>
      <c r="E2" s="39" t="s">
        <v>452</v>
      </c>
      <c r="F2" s="49">
        <v>46225</v>
      </c>
      <c r="G2" s="39" t="s">
        <v>19</v>
      </c>
    </row>
    <row r="3" spans="1:7">
      <c r="A3" s="39" t="s">
        <v>39</v>
      </c>
      <c r="B3" s="39">
        <v>0</v>
      </c>
      <c r="C3" s="39">
        <v>5</v>
      </c>
      <c r="D3" s="39" t="s">
        <v>1479</v>
      </c>
      <c r="E3" s="39" t="s">
        <v>452</v>
      </c>
      <c r="F3" s="49">
        <v>46225</v>
      </c>
      <c r="G3" s="39" t="s">
        <v>1087</v>
      </c>
    </row>
    <row r="4" spans="1:7">
      <c r="A4" s="39" t="s">
        <v>209</v>
      </c>
      <c r="B4" s="39">
        <v>0</v>
      </c>
      <c r="C4" s="39">
        <v>180</v>
      </c>
      <c r="D4" s="39" t="s">
        <v>1478</v>
      </c>
      <c r="E4" s="39" t="s">
        <v>452</v>
      </c>
      <c r="F4" s="49">
        <v>46225</v>
      </c>
      <c r="G4" s="39" t="s">
        <v>19</v>
      </c>
    </row>
    <row r="5" spans="1:7">
      <c r="A5" s="39" t="s">
        <v>195</v>
      </c>
      <c r="B5" s="39">
        <v>0</v>
      </c>
      <c r="C5" s="39">
        <v>5</v>
      </c>
      <c r="D5" s="39" t="s">
        <v>1478</v>
      </c>
      <c r="E5" s="39" t="s">
        <v>452</v>
      </c>
      <c r="F5" s="49">
        <v>46225</v>
      </c>
      <c r="G5" s="39" t="s">
        <v>19</v>
      </c>
    </row>
    <row r="6" spans="1:7">
      <c r="A6" s="39" t="s">
        <v>1088</v>
      </c>
      <c r="B6" s="39">
        <v>0</v>
      </c>
      <c r="C6" s="39">
        <v>120</v>
      </c>
      <c r="D6" s="39" t="s">
        <v>1478</v>
      </c>
      <c r="E6" s="39" t="s">
        <v>803</v>
      </c>
      <c r="F6" s="49">
        <v>46225</v>
      </c>
      <c r="G6" s="39" t="s">
        <v>1087</v>
      </c>
    </row>
    <row r="7" spans="1:7">
      <c r="A7" s="39" t="s">
        <v>641</v>
      </c>
      <c r="B7" s="39">
        <v>0</v>
      </c>
      <c r="C7" s="39">
        <v>2000</v>
      </c>
      <c r="D7" s="39" t="s">
        <v>1478</v>
      </c>
      <c r="E7" s="39" t="s">
        <v>452</v>
      </c>
      <c r="F7" s="49">
        <v>46225</v>
      </c>
      <c r="G7" s="39" t="s">
        <v>1091</v>
      </c>
    </row>
    <row r="8" spans="1:7">
      <c r="A8" s="39" t="s">
        <v>642</v>
      </c>
      <c r="B8" s="39">
        <v>0</v>
      </c>
      <c r="C8" s="39">
        <v>150</v>
      </c>
      <c r="D8" s="39" t="s">
        <v>1479</v>
      </c>
      <c r="E8" s="39" t="s">
        <v>452</v>
      </c>
      <c r="F8" s="49">
        <v>46225</v>
      </c>
      <c r="G8" s="39" t="s">
        <v>1091</v>
      </c>
    </row>
    <row r="9" spans="1:7">
      <c r="A9" s="39" t="s">
        <v>1480</v>
      </c>
      <c r="B9" s="39">
        <v>0</v>
      </c>
      <c r="C9" s="39">
        <v>80</v>
      </c>
      <c r="D9" s="39" t="s">
        <v>1478</v>
      </c>
      <c r="E9" s="39" t="s">
        <v>452</v>
      </c>
      <c r="F9" s="49">
        <v>46225</v>
      </c>
      <c r="G9" s="39" t="s">
        <v>1090</v>
      </c>
    </row>
    <row r="10" spans="1:7">
      <c r="A10" s="39" t="s">
        <v>1481</v>
      </c>
      <c r="B10" s="39">
        <v>0</v>
      </c>
      <c r="C10" s="39">
        <v>90</v>
      </c>
      <c r="D10" s="39" t="s">
        <v>1478</v>
      </c>
      <c r="E10" s="39" t="s">
        <v>452</v>
      </c>
      <c r="F10" s="49">
        <v>46225</v>
      </c>
      <c r="G10" s="39" t="s">
        <v>20</v>
      </c>
    </row>
    <row r="11" spans="1:7">
      <c r="A11" s="39" t="s">
        <v>60</v>
      </c>
      <c r="B11" s="39">
        <v>0</v>
      </c>
      <c r="C11" s="39">
        <v>20000</v>
      </c>
      <c r="D11" s="39" t="s">
        <v>1478</v>
      </c>
      <c r="E11" s="39" t="s">
        <v>452</v>
      </c>
      <c r="F11" s="49">
        <v>46225</v>
      </c>
      <c r="G11" s="39" t="s">
        <v>19</v>
      </c>
    </row>
  </sheetData>
  <pageMargins left="0.75" right="0.75" top="1" bottom="1" header="0.5" footer="0.5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Planilha89">
    <tabColor rgb="FFD4AF37"/>
  </sheetPr>
  <dimension ref="A1:F4"/>
  <sheetViews>
    <sheetView workbookViewId="0"/>
  </sheetViews>
  <sheetFormatPr defaultRowHeight="14.4"/>
  <cols>
    <col min="1" max="1" width="6" customWidth="1"/>
    <col min="2" max="3" width="12" customWidth="1"/>
    <col min="4" max="4" width="55" customWidth="1"/>
    <col min="5" max="5" width="10" customWidth="1"/>
    <col min="6" max="6" width="12" customWidth="1"/>
  </cols>
  <sheetData>
    <row r="1" spans="1:6">
      <c r="A1" s="67" t="s">
        <v>70</v>
      </c>
      <c r="B1" s="67" t="s">
        <v>217</v>
      </c>
      <c r="C1" s="67" t="s">
        <v>294</v>
      </c>
      <c r="D1" s="67" t="s">
        <v>63</v>
      </c>
      <c r="E1" s="67" t="s">
        <v>1092</v>
      </c>
      <c r="F1" s="67" t="s">
        <v>17</v>
      </c>
    </row>
    <row r="2" spans="1:6">
      <c r="A2" s="39">
        <v>1</v>
      </c>
      <c r="B2" s="49">
        <v>46225</v>
      </c>
      <c r="C2" s="39" t="s">
        <v>58</v>
      </c>
      <c r="D2" s="39" t="s">
        <v>1482</v>
      </c>
      <c r="E2" s="39" t="s">
        <v>1483</v>
      </c>
      <c r="F2" s="39" t="s">
        <v>1017</v>
      </c>
    </row>
    <row r="3" spans="1:6">
      <c r="A3" s="39">
        <v>2</v>
      </c>
      <c r="B3" s="49">
        <v>46225</v>
      </c>
      <c r="C3" s="39" t="s">
        <v>1484</v>
      </c>
      <c r="D3" s="39" t="s">
        <v>1485</v>
      </c>
      <c r="E3" s="39" t="s">
        <v>1483</v>
      </c>
      <c r="F3" s="39" t="s">
        <v>985</v>
      </c>
    </row>
    <row r="4" spans="1:6">
      <c r="A4" s="39">
        <v>3</v>
      </c>
      <c r="B4" s="49">
        <v>46225</v>
      </c>
      <c r="C4" s="39" t="s">
        <v>20</v>
      </c>
      <c r="D4" s="39" t="s">
        <v>1486</v>
      </c>
      <c r="E4" s="39" t="s">
        <v>1487</v>
      </c>
      <c r="F4" s="39" t="s">
        <v>20</v>
      </c>
    </row>
  </sheetData>
  <pageMargins left="0.75" right="0.75" top="1" bottom="1" header="0.5" footer="0.5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Planilha90">
    <tabColor rgb="FFD4AF37"/>
  </sheetPr>
  <dimension ref="A1:E6"/>
  <sheetViews>
    <sheetView workbookViewId="0"/>
  </sheetViews>
  <sheetFormatPr defaultRowHeight="14.4"/>
  <cols>
    <col min="1" max="1" width="12" customWidth="1"/>
    <col min="2" max="2" width="14" customWidth="1"/>
    <col min="3" max="3" width="12" customWidth="1"/>
    <col min="4" max="4" width="18" customWidth="1"/>
    <col min="5" max="5" width="12" customWidth="1"/>
  </cols>
  <sheetData>
    <row r="1" spans="1:5">
      <c r="A1" s="67" t="s">
        <v>294</v>
      </c>
      <c r="B1" s="67" t="s">
        <v>1488</v>
      </c>
      <c r="C1" s="67" t="s">
        <v>180</v>
      </c>
      <c r="D1" s="67" t="s">
        <v>1489</v>
      </c>
      <c r="E1" s="67" t="s">
        <v>1490</v>
      </c>
    </row>
    <row r="2" spans="1:5">
      <c r="A2" s="39" t="s">
        <v>58</v>
      </c>
      <c r="B2" s="39" t="s">
        <v>1491</v>
      </c>
      <c r="C2" s="39">
        <v>0</v>
      </c>
      <c r="D2" s="39" t="s">
        <v>1492</v>
      </c>
      <c r="E2" s="49">
        <v>46225</v>
      </c>
    </row>
    <row r="3" spans="1:5">
      <c r="A3" s="39" t="s">
        <v>58</v>
      </c>
      <c r="B3" s="39" t="s">
        <v>1493</v>
      </c>
      <c r="C3" s="39">
        <v>0</v>
      </c>
      <c r="D3" s="39" t="s">
        <v>1494</v>
      </c>
      <c r="E3" s="49">
        <v>46225</v>
      </c>
    </row>
    <row r="4" spans="1:5">
      <c r="A4" s="39" t="s">
        <v>871</v>
      </c>
      <c r="B4" s="39" t="s">
        <v>650</v>
      </c>
      <c r="C4" s="39">
        <v>0</v>
      </c>
      <c r="D4" s="39" t="s">
        <v>1495</v>
      </c>
      <c r="E4" s="49">
        <v>46225</v>
      </c>
    </row>
    <row r="5" spans="1:5">
      <c r="A5" s="39" t="s">
        <v>871</v>
      </c>
      <c r="B5" s="39" t="s">
        <v>652</v>
      </c>
      <c r="C5" s="39">
        <v>0</v>
      </c>
      <c r="D5" s="39" t="s">
        <v>1496</v>
      </c>
      <c r="E5" s="49">
        <v>46225</v>
      </c>
    </row>
    <row r="6" spans="1:5">
      <c r="A6" s="39" t="s">
        <v>871</v>
      </c>
      <c r="B6" s="39" t="s">
        <v>654</v>
      </c>
      <c r="C6" s="39">
        <v>0</v>
      </c>
      <c r="D6" s="39" t="s">
        <v>1496</v>
      </c>
      <c r="E6" s="49">
        <v>46225</v>
      </c>
    </row>
  </sheetData>
  <pageMargins left="0.75" right="0.75" top="1" bottom="1" header="0.5" footer="0.5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Planilha91">
    <tabColor rgb="FFD4AF37"/>
  </sheetPr>
  <dimension ref="A1:J2"/>
  <sheetViews>
    <sheetView workbookViewId="0"/>
  </sheetViews>
  <sheetFormatPr defaultRowHeight="14.4"/>
  <cols>
    <col min="1" max="1" width="16" customWidth="1"/>
    <col min="2" max="2" width="22" customWidth="1"/>
    <col min="3" max="3" width="8" customWidth="1"/>
    <col min="4" max="4" width="14" customWidth="1"/>
    <col min="5" max="5" width="10" customWidth="1"/>
    <col min="6" max="7" width="12" customWidth="1"/>
    <col min="8" max="8" width="10" customWidth="1"/>
    <col min="9" max="9" width="12" customWidth="1"/>
    <col min="10" max="10" width="28" customWidth="1"/>
  </cols>
  <sheetData>
    <row r="1" spans="1:10">
      <c r="A1" s="67" t="s">
        <v>73</v>
      </c>
      <c r="B1" s="67" t="s">
        <v>177</v>
      </c>
      <c r="C1" s="67" t="s">
        <v>663</v>
      </c>
      <c r="D1" s="67" t="s">
        <v>1497</v>
      </c>
      <c r="E1" s="67" t="s">
        <v>1480</v>
      </c>
      <c r="F1" s="67" t="s">
        <v>443</v>
      </c>
      <c r="G1" s="67" t="s">
        <v>579</v>
      </c>
      <c r="H1" s="67" t="s">
        <v>1139</v>
      </c>
      <c r="I1" s="67" t="s">
        <v>1498</v>
      </c>
      <c r="J1" s="67" t="s">
        <v>669</v>
      </c>
    </row>
    <row r="2" spans="1:10">
      <c r="A2" s="39" t="s">
        <v>121</v>
      </c>
      <c r="B2" s="39" t="s">
        <v>122</v>
      </c>
      <c r="C2" s="39">
        <v>72</v>
      </c>
      <c r="D2" s="39" t="s">
        <v>1499</v>
      </c>
      <c r="E2" s="39" t="s">
        <v>1112</v>
      </c>
      <c r="F2" s="39" t="s">
        <v>1500</v>
      </c>
      <c r="G2" s="39">
        <v>12</v>
      </c>
      <c r="H2" s="39" t="s">
        <v>1463</v>
      </c>
      <c r="I2" s="39" t="s">
        <v>654</v>
      </c>
      <c r="J2" s="39" t="s">
        <v>1501</v>
      </c>
    </row>
  </sheetData>
  <pageMargins left="0.75" right="0.75" top="1" bottom="1" header="0.5" footer="0.5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Planilha92">
    <tabColor rgb="FFD4AF37"/>
  </sheetPr>
  <dimension ref="A1:H4"/>
  <sheetViews>
    <sheetView workbookViewId="0"/>
  </sheetViews>
  <sheetFormatPr defaultRowHeight="14.4"/>
  <cols>
    <col min="1" max="1" width="6" customWidth="1"/>
    <col min="2" max="3" width="12" customWidth="1"/>
    <col min="4" max="4" width="16" customWidth="1"/>
    <col min="5" max="5" width="40" customWidth="1"/>
    <col min="6" max="6" width="12" customWidth="1"/>
    <col min="7" max="8" width="8" customWidth="1"/>
  </cols>
  <sheetData>
    <row r="1" spans="1:8">
      <c r="A1" s="67" t="s">
        <v>70</v>
      </c>
      <c r="B1" s="67" t="s">
        <v>1502</v>
      </c>
      <c r="C1" s="67" t="s">
        <v>1503</v>
      </c>
      <c r="D1" s="67" t="s">
        <v>73</v>
      </c>
      <c r="E1" s="67" t="s">
        <v>63</v>
      </c>
      <c r="F1" s="67" t="s">
        <v>217</v>
      </c>
      <c r="G1" s="67" t="s">
        <v>26</v>
      </c>
      <c r="H1" s="67" t="s">
        <v>1093</v>
      </c>
    </row>
    <row r="2" spans="1:8">
      <c r="A2" s="39">
        <v>1</v>
      </c>
      <c r="B2" s="39" t="s">
        <v>908</v>
      </c>
      <c r="C2" s="39" t="s">
        <v>687</v>
      </c>
      <c r="D2" s="39" t="s">
        <v>107</v>
      </c>
      <c r="E2" s="39" t="s">
        <v>1504</v>
      </c>
      <c r="F2" s="49">
        <v>46224</v>
      </c>
      <c r="G2" s="39" t="s">
        <v>1202</v>
      </c>
      <c r="H2" s="39" t="s">
        <v>987</v>
      </c>
    </row>
    <row r="3" spans="1:8">
      <c r="A3" s="39">
        <v>2</v>
      </c>
      <c r="B3" s="39" t="s">
        <v>687</v>
      </c>
      <c r="C3" s="39" t="s">
        <v>908</v>
      </c>
      <c r="D3" s="39" t="s">
        <v>107</v>
      </c>
      <c r="E3" s="39" t="s">
        <v>1505</v>
      </c>
      <c r="F3" s="49">
        <v>46224</v>
      </c>
      <c r="G3" s="39" t="s">
        <v>1506</v>
      </c>
      <c r="H3" s="39" t="s">
        <v>987</v>
      </c>
    </row>
    <row r="4" spans="1:8">
      <c r="A4" s="39">
        <v>3</v>
      </c>
      <c r="B4" s="39" t="s">
        <v>908</v>
      </c>
      <c r="C4" s="39" t="s">
        <v>687</v>
      </c>
      <c r="D4" s="39" t="s">
        <v>107</v>
      </c>
      <c r="E4" s="39" t="s">
        <v>1507</v>
      </c>
      <c r="F4" s="49">
        <v>46225</v>
      </c>
      <c r="G4" s="39" t="s">
        <v>368</v>
      </c>
      <c r="H4" s="39" t="s">
        <v>884</v>
      </c>
    </row>
  </sheetData>
  <pageMargins left="0.75" right="0.75" top="1" bottom="1" header="0.5" footer="0.5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Planilha93">
    <tabColor rgb="FFD4AF37"/>
  </sheetPr>
  <dimension ref="A1:H3"/>
  <sheetViews>
    <sheetView workbookViewId="0"/>
  </sheetViews>
  <sheetFormatPr defaultRowHeight="14.4"/>
  <cols>
    <col min="1" max="1" width="6" customWidth="1"/>
    <col min="2" max="2" width="16" customWidth="1"/>
    <col min="3" max="3" width="20" customWidth="1"/>
    <col min="4" max="4" width="14" customWidth="1"/>
    <col min="5" max="7" width="10" customWidth="1"/>
    <col min="8" max="8" width="16" customWidth="1"/>
  </cols>
  <sheetData>
    <row r="1" spans="1:8">
      <c r="A1" s="67" t="s">
        <v>70</v>
      </c>
      <c r="B1" s="67" t="s">
        <v>73</v>
      </c>
      <c r="C1" s="67" t="s">
        <v>177</v>
      </c>
      <c r="D1" s="67" t="s">
        <v>504</v>
      </c>
      <c r="E1" s="67" t="s">
        <v>40</v>
      </c>
      <c r="F1" s="67" t="s">
        <v>51</v>
      </c>
      <c r="G1" s="67" t="s">
        <v>52</v>
      </c>
      <c r="H1" s="67" t="s">
        <v>1083</v>
      </c>
    </row>
    <row r="2" spans="1:8">
      <c r="A2" s="39">
        <v>1</v>
      </c>
      <c r="B2" s="39" t="s">
        <v>107</v>
      </c>
      <c r="C2" s="39" t="s">
        <v>108</v>
      </c>
      <c r="D2" s="39" t="s">
        <v>1255</v>
      </c>
      <c r="E2" s="39">
        <v>30</v>
      </c>
      <c r="F2" s="39">
        <v>23</v>
      </c>
      <c r="G2" s="39">
        <v>0.77</v>
      </c>
      <c r="H2" s="39" t="s">
        <v>1508</v>
      </c>
    </row>
    <row r="3" spans="1:8">
      <c r="A3" s="39">
        <v>2</v>
      </c>
      <c r="B3" s="39" t="s">
        <v>121</v>
      </c>
      <c r="C3" s="39" t="s">
        <v>122</v>
      </c>
      <c r="D3" s="39" t="s">
        <v>1252</v>
      </c>
      <c r="E3" s="39">
        <v>90</v>
      </c>
      <c r="F3" s="39">
        <v>88</v>
      </c>
      <c r="G3" s="39">
        <v>0.98</v>
      </c>
      <c r="H3" s="39" t="s">
        <v>1509</v>
      </c>
    </row>
  </sheetData>
  <pageMargins left="0.75" right="0.75" top="1" bottom="1" header="0.5" footer="0.5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Planilha94">
    <tabColor rgb="FFD4AF37"/>
  </sheetPr>
  <dimension ref="A1:F3"/>
  <sheetViews>
    <sheetView workbookViewId="0"/>
  </sheetViews>
  <sheetFormatPr defaultRowHeight="14.4"/>
  <cols>
    <col min="1" max="1" width="12" customWidth="1"/>
    <col min="2" max="2" width="24" customWidth="1"/>
    <col min="3" max="3" width="12" customWidth="1"/>
    <col min="4" max="4" width="16" customWidth="1"/>
    <col min="5" max="6" width="12" customWidth="1"/>
  </cols>
  <sheetData>
    <row r="1" spans="1:6">
      <c r="A1" s="67" t="s">
        <v>898</v>
      </c>
      <c r="B1" s="67" t="s">
        <v>901</v>
      </c>
      <c r="C1" s="67" t="s">
        <v>900</v>
      </c>
      <c r="D1" s="67" t="s">
        <v>73</v>
      </c>
      <c r="E1" s="67" t="s">
        <v>1510</v>
      </c>
      <c r="F1" s="67" t="s">
        <v>1511</v>
      </c>
    </row>
    <row r="2" spans="1:6">
      <c r="A2" s="39" t="s">
        <v>687</v>
      </c>
      <c r="B2" s="39" t="s">
        <v>910</v>
      </c>
      <c r="C2" s="39" t="s">
        <v>177</v>
      </c>
      <c r="D2" s="39" t="s">
        <v>107</v>
      </c>
      <c r="E2" s="49">
        <v>46255</v>
      </c>
      <c r="F2" s="39" t="s">
        <v>1512</v>
      </c>
    </row>
    <row r="3" spans="1:6">
      <c r="A3" s="39" t="s">
        <v>908</v>
      </c>
      <c r="B3" s="39" t="s">
        <v>1513</v>
      </c>
      <c r="C3" s="39" t="s">
        <v>76</v>
      </c>
      <c r="D3" s="39"/>
      <c r="E3" s="49">
        <v>46255</v>
      </c>
      <c r="F3" s="39" t="s">
        <v>1514</v>
      </c>
    </row>
  </sheetData>
  <pageMargins left="0.75" right="0.75" top="1" bottom="1" header="0.5" footer="0.5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Planilha95">
    <tabColor rgb="FFD4AF37"/>
  </sheetPr>
  <dimension ref="A1:G4"/>
  <sheetViews>
    <sheetView workbookViewId="0"/>
  </sheetViews>
  <sheetFormatPr defaultRowHeight="14.4"/>
  <cols>
    <col min="1" max="1" width="6" customWidth="1"/>
    <col min="2" max="2" width="16" customWidth="1"/>
    <col min="3" max="3" width="18" customWidth="1"/>
    <col min="4" max="5" width="8" customWidth="1"/>
    <col min="6" max="6" width="10" customWidth="1"/>
    <col min="7" max="7" width="16" customWidth="1"/>
  </cols>
  <sheetData>
    <row r="1" spans="1:7">
      <c r="A1" s="67" t="s">
        <v>70</v>
      </c>
      <c r="B1" s="67" t="s">
        <v>73</v>
      </c>
      <c r="C1" s="67" t="s">
        <v>1515</v>
      </c>
      <c r="D1" s="67" t="s">
        <v>40</v>
      </c>
      <c r="E1" s="67" t="s">
        <v>51</v>
      </c>
      <c r="F1" s="67" t="s">
        <v>52</v>
      </c>
      <c r="G1" s="67" t="s">
        <v>1516</v>
      </c>
    </row>
    <row r="2" spans="1:7">
      <c r="A2" s="39">
        <v>1</v>
      </c>
      <c r="B2" s="39" t="s">
        <v>107</v>
      </c>
      <c r="C2" s="39" t="s">
        <v>1517</v>
      </c>
      <c r="D2" s="39">
        <v>20</v>
      </c>
      <c r="E2" s="39">
        <v>9</v>
      </c>
      <c r="F2" s="39">
        <v>0.45</v>
      </c>
      <c r="G2" s="39"/>
    </row>
    <row r="3" spans="1:7">
      <c r="A3" s="39">
        <v>2</v>
      </c>
      <c r="B3" s="39" t="s">
        <v>107</v>
      </c>
      <c r="C3" s="39" t="s">
        <v>1518</v>
      </c>
      <c r="D3" s="39">
        <v>30</v>
      </c>
      <c r="E3" s="39">
        <v>0</v>
      </c>
      <c r="F3" s="39">
        <v>0</v>
      </c>
      <c r="G3" s="39"/>
    </row>
    <row r="4" spans="1:7">
      <c r="A4" s="39">
        <v>3</v>
      </c>
      <c r="B4" s="39" t="s">
        <v>107</v>
      </c>
      <c r="C4" s="39" t="s">
        <v>1519</v>
      </c>
      <c r="D4" s="39">
        <v>100</v>
      </c>
      <c r="E4" s="39">
        <v>26</v>
      </c>
      <c r="F4" s="39">
        <v>0.26</v>
      </c>
      <c r="G4" s="39" t="s">
        <v>1520</v>
      </c>
    </row>
  </sheetData>
  <pageMargins left="0.75" right="0.75" top="1" bottom="1" header="0.5" footer="0.5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Planilha96">
    <tabColor rgb="FFD4AF37"/>
  </sheetPr>
  <dimension ref="A1:H4"/>
  <sheetViews>
    <sheetView workbookViewId="0"/>
  </sheetViews>
  <sheetFormatPr defaultRowHeight="14.4"/>
  <cols>
    <col min="1" max="1" width="6" customWidth="1"/>
    <col min="2" max="2" width="12" customWidth="1"/>
    <col min="3" max="3" width="16" customWidth="1"/>
    <col min="4" max="4" width="40" customWidth="1"/>
    <col min="5" max="5" width="12" customWidth="1"/>
    <col min="6" max="7" width="8" customWidth="1"/>
    <col min="8" max="8" width="12" customWidth="1"/>
  </cols>
  <sheetData>
    <row r="1" spans="1:8">
      <c r="A1" s="67" t="s">
        <v>70</v>
      </c>
      <c r="B1" s="67" t="s">
        <v>898</v>
      </c>
      <c r="C1" s="67" t="s">
        <v>73</v>
      </c>
      <c r="D1" s="67" t="s">
        <v>63</v>
      </c>
      <c r="E1" s="67" t="s">
        <v>217</v>
      </c>
      <c r="F1" s="67" t="s">
        <v>26</v>
      </c>
      <c r="G1" s="67" t="s">
        <v>1093</v>
      </c>
      <c r="H1" s="67" t="s">
        <v>294</v>
      </c>
    </row>
    <row r="2" spans="1:8">
      <c r="A2" s="39">
        <v>1</v>
      </c>
      <c r="B2" s="39" t="s">
        <v>687</v>
      </c>
      <c r="C2" s="39" t="s">
        <v>107</v>
      </c>
      <c r="D2" s="39" t="s">
        <v>1521</v>
      </c>
      <c r="E2" s="49">
        <v>46225</v>
      </c>
      <c r="F2" s="39" t="s">
        <v>368</v>
      </c>
      <c r="G2" s="39" t="s">
        <v>884</v>
      </c>
      <c r="H2" s="39" t="s">
        <v>19</v>
      </c>
    </row>
    <row r="3" spans="1:8">
      <c r="A3" s="39">
        <v>2</v>
      </c>
      <c r="B3" s="39" t="s">
        <v>687</v>
      </c>
      <c r="C3" s="39" t="s">
        <v>107</v>
      </c>
      <c r="D3" s="39" t="s">
        <v>1522</v>
      </c>
      <c r="E3" s="49">
        <v>46225</v>
      </c>
      <c r="F3" s="39" t="s">
        <v>351</v>
      </c>
      <c r="G3" s="39" t="s">
        <v>884</v>
      </c>
      <c r="H3" s="39" t="s">
        <v>712</v>
      </c>
    </row>
    <row r="4" spans="1:8">
      <c r="A4" s="39">
        <v>3</v>
      </c>
      <c r="B4" s="39" t="s">
        <v>687</v>
      </c>
      <c r="C4" s="39" t="s">
        <v>107</v>
      </c>
      <c r="D4" s="39" t="s">
        <v>1523</v>
      </c>
      <c r="E4" s="49">
        <v>46223</v>
      </c>
      <c r="F4" s="39" t="s">
        <v>369</v>
      </c>
      <c r="G4" s="39" t="s">
        <v>987</v>
      </c>
      <c r="H4" s="39" t="s">
        <v>1139</v>
      </c>
    </row>
  </sheetData>
  <pageMargins left="0.75" right="0.75" top="1" bottom="1" header="0.5" footer="0.5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Planilha97">
    <tabColor rgb="FFD4AF37"/>
  </sheetPr>
  <dimension ref="A1:H6"/>
  <sheetViews>
    <sheetView workbookViewId="0"/>
  </sheetViews>
  <sheetFormatPr defaultRowHeight="14.4"/>
  <cols>
    <col min="1" max="1" width="6" customWidth="1"/>
    <col min="2" max="2" width="12" customWidth="1"/>
    <col min="3" max="3" width="48" customWidth="1"/>
    <col min="4" max="4" width="14" customWidth="1"/>
    <col min="5" max="5" width="12" customWidth="1"/>
    <col min="6" max="6" width="10" customWidth="1"/>
    <col min="7" max="8" width="12" customWidth="1"/>
  </cols>
  <sheetData>
    <row r="1" spans="1:8">
      <c r="A1" s="67" t="s">
        <v>70</v>
      </c>
      <c r="B1" s="67" t="s">
        <v>294</v>
      </c>
      <c r="C1" s="67" t="s">
        <v>238</v>
      </c>
      <c r="D1" s="67" t="s">
        <v>430</v>
      </c>
      <c r="E1" s="67" t="s">
        <v>199</v>
      </c>
      <c r="F1" s="67" t="s">
        <v>1092</v>
      </c>
      <c r="G1" s="67" t="s">
        <v>239</v>
      </c>
      <c r="H1" s="67" t="s">
        <v>217</v>
      </c>
    </row>
    <row r="2" spans="1:8">
      <c r="A2" s="39">
        <v>1</v>
      </c>
      <c r="B2" s="39" t="s">
        <v>1524</v>
      </c>
      <c r="C2" s="39" t="s">
        <v>1525</v>
      </c>
      <c r="D2" s="39" t="s">
        <v>19</v>
      </c>
      <c r="E2" s="39" t="s">
        <v>244</v>
      </c>
      <c r="F2" s="39" t="s">
        <v>1094</v>
      </c>
      <c r="G2" s="39" t="s">
        <v>19</v>
      </c>
      <c r="H2" s="49">
        <v>46225</v>
      </c>
    </row>
    <row r="3" spans="1:8">
      <c r="A3" s="39">
        <v>2</v>
      </c>
      <c r="B3" s="39" t="s">
        <v>20</v>
      </c>
      <c r="C3" s="39" t="s">
        <v>1526</v>
      </c>
      <c r="D3" s="39" t="s">
        <v>20</v>
      </c>
      <c r="E3" s="39" t="s">
        <v>244</v>
      </c>
      <c r="F3" s="39" t="s">
        <v>1133</v>
      </c>
      <c r="G3" s="39" t="s">
        <v>20</v>
      </c>
      <c r="H3" s="49">
        <v>46225</v>
      </c>
    </row>
    <row r="4" spans="1:8">
      <c r="A4" s="39">
        <v>3</v>
      </c>
      <c r="B4" s="39" t="s">
        <v>712</v>
      </c>
      <c r="C4" s="39" t="s">
        <v>1527</v>
      </c>
      <c r="D4" s="39" t="s">
        <v>76</v>
      </c>
      <c r="E4" s="39" t="s">
        <v>244</v>
      </c>
      <c r="F4" s="39" t="s">
        <v>38</v>
      </c>
      <c r="G4" s="39" t="s">
        <v>982</v>
      </c>
      <c r="H4" s="49">
        <v>46225</v>
      </c>
    </row>
    <row r="5" spans="1:8">
      <c r="A5" s="39">
        <v>4</v>
      </c>
      <c r="B5" s="39" t="s">
        <v>1528</v>
      </c>
      <c r="C5" s="39" t="s">
        <v>1529</v>
      </c>
      <c r="D5" s="39" t="s">
        <v>973</v>
      </c>
      <c r="E5" s="39" t="s">
        <v>244</v>
      </c>
      <c r="F5" s="39" t="s">
        <v>1099</v>
      </c>
      <c r="G5" s="39" t="s">
        <v>1528</v>
      </c>
      <c r="H5" s="49">
        <v>46225</v>
      </c>
    </row>
    <row r="6" spans="1:8">
      <c r="A6" s="39">
        <v>5</v>
      </c>
      <c r="B6" s="39" t="s">
        <v>1139</v>
      </c>
      <c r="C6" s="39" t="s">
        <v>1530</v>
      </c>
      <c r="D6" s="39" t="s">
        <v>76</v>
      </c>
      <c r="E6" s="39" t="s">
        <v>244</v>
      </c>
      <c r="F6" s="39" t="s">
        <v>1142</v>
      </c>
      <c r="G6" s="39" t="s">
        <v>1139</v>
      </c>
      <c r="H6" s="49">
        <v>46225</v>
      </c>
    </row>
  </sheetData>
  <pageMargins left="0.75" right="0.75" top="1" bottom="1" header="0.5" footer="0.5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Planilha98">
    <tabColor rgb="FFD4AF37"/>
  </sheetPr>
  <dimension ref="A1:G2"/>
  <sheetViews>
    <sheetView workbookViewId="0"/>
  </sheetViews>
  <sheetFormatPr defaultRowHeight="14.4"/>
  <cols>
    <col min="1" max="1" width="6" customWidth="1"/>
    <col min="2" max="2" width="12" customWidth="1"/>
    <col min="3" max="3" width="8" customWidth="1"/>
    <col min="4" max="4" width="32" customWidth="1"/>
    <col min="5" max="5" width="55" customWidth="1"/>
    <col min="6" max="7" width="12" customWidth="1"/>
  </cols>
  <sheetData>
    <row r="1" spans="1:7">
      <c r="A1" s="67" t="s">
        <v>70</v>
      </c>
      <c r="B1" s="67" t="s">
        <v>217</v>
      </c>
      <c r="C1" s="67" t="s">
        <v>26</v>
      </c>
      <c r="D1" s="67" t="s">
        <v>734</v>
      </c>
      <c r="E1" s="67" t="s">
        <v>1531</v>
      </c>
      <c r="F1" s="67" t="s">
        <v>898</v>
      </c>
      <c r="G1" s="67" t="s">
        <v>17</v>
      </c>
    </row>
    <row r="2" spans="1:7">
      <c r="A2" s="39">
        <v>1</v>
      </c>
      <c r="B2" s="49">
        <v>46225</v>
      </c>
      <c r="C2" s="39" t="s">
        <v>368</v>
      </c>
      <c r="D2" s="39" t="s">
        <v>735</v>
      </c>
      <c r="E2" s="39" t="s">
        <v>1532</v>
      </c>
      <c r="F2" s="39" t="s">
        <v>785</v>
      </c>
      <c r="G2" s="39" t="s">
        <v>19</v>
      </c>
    </row>
  </sheetData>
  <pageMargins left="0.75" right="0.75" top="1" bottom="1" header="0.5" footer="0.5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Planilha99">
    <tabColor rgb="FFD4AF37"/>
  </sheetPr>
  <dimension ref="A1:Z5"/>
  <sheetViews>
    <sheetView workbookViewId="0"/>
  </sheetViews>
  <sheetFormatPr defaultRowHeight="14.4"/>
  <cols>
    <col min="1" max="1" width="10" customWidth="1"/>
    <col min="2" max="2" width="28" customWidth="1"/>
    <col min="3" max="4" width="18" customWidth="1"/>
    <col min="5" max="7" width="14" customWidth="1"/>
    <col min="8" max="8" width="22" customWidth="1"/>
    <col min="9" max="10" width="14" customWidth="1"/>
    <col min="11" max="11" width="20" customWidth="1"/>
    <col min="12" max="25" width="14" customWidth="1"/>
    <col min="26" max="26" width="12" customWidth="1"/>
  </cols>
  <sheetData>
    <row r="1" spans="1:26">
      <c r="A1" s="67" t="s">
        <v>96</v>
      </c>
      <c r="B1" s="67" t="s">
        <v>779</v>
      </c>
      <c r="C1" s="67" t="s">
        <v>780</v>
      </c>
      <c r="D1" s="67" t="s">
        <v>771</v>
      </c>
      <c r="E1" s="67" t="s">
        <v>1533</v>
      </c>
      <c r="F1" s="67" t="s">
        <v>101</v>
      </c>
      <c r="G1" s="67" t="s">
        <v>102</v>
      </c>
      <c r="H1" s="67" t="s">
        <v>84</v>
      </c>
      <c r="I1" s="67" t="s">
        <v>1179</v>
      </c>
      <c r="J1" s="67" t="s">
        <v>85</v>
      </c>
      <c r="K1" s="67" t="s">
        <v>86</v>
      </c>
      <c r="L1" s="67" t="s">
        <v>87</v>
      </c>
      <c r="M1" s="67" t="s">
        <v>1534</v>
      </c>
      <c r="N1" s="67" t="s">
        <v>88</v>
      </c>
      <c r="O1" s="67" t="s">
        <v>89</v>
      </c>
      <c r="P1" s="67" t="s">
        <v>781</v>
      </c>
      <c r="Q1" s="67" t="s">
        <v>1535</v>
      </c>
      <c r="R1" s="67" t="s">
        <v>1536</v>
      </c>
      <c r="S1" s="67" t="s">
        <v>1537</v>
      </c>
      <c r="T1" s="67" t="s">
        <v>1538</v>
      </c>
      <c r="U1" s="67" t="s">
        <v>54</v>
      </c>
      <c r="V1" s="67" t="s">
        <v>106</v>
      </c>
      <c r="W1" s="67" t="s">
        <v>1143</v>
      </c>
      <c r="X1" s="67" t="s">
        <v>1539</v>
      </c>
      <c r="Y1" s="67" t="s">
        <v>827</v>
      </c>
      <c r="Z1" s="67" t="s">
        <v>828</v>
      </c>
    </row>
    <row r="2" spans="1:26">
      <c r="A2" s="39">
        <v>0</v>
      </c>
      <c r="B2" s="39" t="s">
        <v>1540</v>
      </c>
      <c r="C2" s="39" t="s">
        <v>1541</v>
      </c>
      <c r="D2" s="39" t="s">
        <v>1542</v>
      </c>
      <c r="E2" s="39"/>
      <c r="F2" s="39"/>
      <c r="G2" s="39"/>
      <c r="H2" s="39" t="s">
        <v>1543</v>
      </c>
      <c r="I2" s="39" t="s">
        <v>1544</v>
      </c>
      <c r="J2" s="39"/>
      <c r="K2" s="39"/>
      <c r="L2" s="39"/>
      <c r="M2" s="39"/>
      <c r="N2" s="39"/>
      <c r="O2" s="39" t="s">
        <v>90</v>
      </c>
      <c r="P2" s="39" t="s">
        <v>782</v>
      </c>
      <c r="Q2" s="39" t="s">
        <v>1545</v>
      </c>
      <c r="R2" s="39"/>
      <c r="S2" s="39" t="s">
        <v>1546</v>
      </c>
      <c r="T2" s="39" t="s">
        <v>1075</v>
      </c>
      <c r="U2" s="39" t="s">
        <v>1547</v>
      </c>
      <c r="V2" s="39" t="s">
        <v>120</v>
      </c>
      <c r="W2" s="49">
        <v>46225</v>
      </c>
      <c r="X2" s="49">
        <v>49875</v>
      </c>
      <c r="Y2" s="39">
        <v>0</v>
      </c>
      <c r="Z2" s="39">
        <v>0</v>
      </c>
    </row>
    <row r="3" spans="1:26">
      <c r="A3" s="39">
        <v>1</v>
      </c>
      <c r="B3" s="39" t="s">
        <v>1548</v>
      </c>
      <c r="C3" s="39" t="s">
        <v>0</v>
      </c>
      <c r="D3" s="39" t="s">
        <v>1335</v>
      </c>
      <c r="E3" s="39" t="s">
        <v>1549</v>
      </c>
      <c r="F3" s="39" t="s">
        <v>1550</v>
      </c>
      <c r="G3" s="39" t="s">
        <v>1551</v>
      </c>
      <c r="H3" s="39" t="s">
        <v>1552</v>
      </c>
      <c r="I3" s="39" t="s">
        <v>1544</v>
      </c>
      <c r="J3" s="39" t="s">
        <v>114</v>
      </c>
      <c r="K3" s="39" t="s">
        <v>115</v>
      </c>
      <c r="L3" s="39" t="s">
        <v>116</v>
      </c>
      <c r="M3" s="39" t="s">
        <v>1553</v>
      </c>
      <c r="N3" s="39" t="s">
        <v>117</v>
      </c>
      <c r="O3" s="39" t="s">
        <v>90</v>
      </c>
      <c r="P3" s="39" t="s">
        <v>782</v>
      </c>
      <c r="Q3" s="39" t="s">
        <v>1545</v>
      </c>
      <c r="R3" s="39"/>
      <c r="S3" s="39" t="s">
        <v>1546</v>
      </c>
      <c r="T3" s="39" t="s">
        <v>1075</v>
      </c>
      <c r="U3" s="39" t="s">
        <v>1547</v>
      </c>
      <c r="V3" s="39" t="s">
        <v>120</v>
      </c>
      <c r="W3" s="49">
        <v>45860</v>
      </c>
      <c r="X3" s="49">
        <v>46590</v>
      </c>
      <c r="Y3" s="39">
        <v>1</v>
      </c>
      <c r="Z3" s="39">
        <v>1</v>
      </c>
    </row>
    <row r="4" spans="1:26">
      <c r="A4" s="39">
        <v>2</v>
      </c>
      <c r="B4" s="39" t="s">
        <v>1554</v>
      </c>
      <c r="C4" s="39" t="s">
        <v>1555</v>
      </c>
      <c r="D4" s="39" t="s">
        <v>1350</v>
      </c>
      <c r="E4" s="39" t="s">
        <v>1549</v>
      </c>
      <c r="F4" s="39" t="s">
        <v>1556</v>
      </c>
      <c r="G4" s="39" t="s">
        <v>1557</v>
      </c>
      <c r="H4" s="39" t="s">
        <v>1353</v>
      </c>
      <c r="I4" s="39" t="s">
        <v>1544</v>
      </c>
      <c r="J4" s="39" t="s">
        <v>1354</v>
      </c>
      <c r="K4" s="39" t="s">
        <v>1558</v>
      </c>
      <c r="L4" s="39" t="s">
        <v>1559</v>
      </c>
      <c r="M4" s="39"/>
      <c r="N4" s="39" t="s">
        <v>1560</v>
      </c>
      <c r="O4" s="39" t="s">
        <v>1356</v>
      </c>
      <c r="P4" s="39" t="s">
        <v>782</v>
      </c>
      <c r="Q4" s="39" t="s">
        <v>1545</v>
      </c>
      <c r="R4" s="39"/>
      <c r="S4" s="39" t="s">
        <v>1546</v>
      </c>
      <c r="T4" s="39" t="s">
        <v>1075</v>
      </c>
      <c r="U4" s="39" t="s">
        <v>1547</v>
      </c>
      <c r="V4" s="39" t="s">
        <v>120</v>
      </c>
      <c r="W4" s="49">
        <v>46025</v>
      </c>
      <c r="X4" s="49">
        <v>46755</v>
      </c>
      <c r="Y4" s="39">
        <v>1</v>
      </c>
      <c r="Z4" s="39">
        <v>2</v>
      </c>
    </row>
    <row r="5" spans="1:26">
      <c r="A5" s="39">
        <v>3</v>
      </c>
      <c r="B5" s="39" t="s">
        <v>1561</v>
      </c>
      <c r="C5" s="39" t="s">
        <v>1562</v>
      </c>
      <c r="D5" s="39" t="s">
        <v>1360</v>
      </c>
      <c r="E5" s="39" t="s">
        <v>1549</v>
      </c>
      <c r="F5" s="39" t="s">
        <v>1563</v>
      </c>
      <c r="G5" s="39" t="s">
        <v>1564</v>
      </c>
      <c r="H5" s="39" t="s">
        <v>1363</v>
      </c>
      <c r="I5" s="39" t="s">
        <v>1544</v>
      </c>
      <c r="J5" s="39" t="s">
        <v>1364</v>
      </c>
      <c r="K5" s="39" t="s">
        <v>1565</v>
      </c>
      <c r="L5" s="39" t="s">
        <v>1566</v>
      </c>
      <c r="M5" s="39"/>
      <c r="N5" s="39" t="s">
        <v>1567</v>
      </c>
      <c r="O5" s="39" t="s">
        <v>1366</v>
      </c>
      <c r="P5" s="39" t="s">
        <v>782</v>
      </c>
      <c r="Q5" s="39" t="s">
        <v>1545</v>
      </c>
      <c r="R5" s="39"/>
      <c r="S5" s="39" t="s">
        <v>1546</v>
      </c>
      <c r="T5" s="39" t="s">
        <v>1075</v>
      </c>
      <c r="U5" s="39" t="s">
        <v>1547</v>
      </c>
      <c r="V5" s="39" t="s">
        <v>120</v>
      </c>
      <c r="W5" s="49">
        <v>46105</v>
      </c>
      <c r="X5" s="49">
        <v>46835</v>
      </c>
      <c r="Y5" s="39">
        <v>1</v>
      </c>
      <c r="Z5" s="39">
        <v>3</v>
      </c>
    </row>
  </sheetData>
  <pageMargins left="0.75" right="0.75" top="1" bottom="1" header="0.5" footer="0.5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Planilha100">
    <tabColor rgb="FFD4AF37"/>
  </sheetPr>
  <dimension ref="A1:G4"/>
  <sheetViews>
    <sheetView workbookViewId="0"/>
  </sheetViews>
  <sheetFormatPr defaultRowHeight="14.4"/>
  <cols>
    <col min="1" max="1" width="6" customWidth="1"/>
    <col min="2" max="2" width="10" customWidth="1"/>
    <col min="3" max="3" width="22" customWidth="1"/>
    <col min="4" max="7" width="12" customWidth="1"/>
  </cols>
  <sheetData>
    <row r="1" spans="1:7">
      <c r="A1" s="67" t="s">
        <v>70</v>
      </c>
      <c r="B1" s="67" t="s">
        <v>96</v>
      </c>
      <c r="C1" s="67" t="s">
        <v>775</v>
      </c>
      <c r="D1" s="67" t="s">
        <v>54</v>
      </c>
      <c r="E1" s="67" t="s">
        <v>1568</v>
      </c>
      <c r="F1" s="67" t="s">
        <v>772</v>
      </c>
      <c r="G1" s="67" t="s">
        <v>106</v>
      </c>
    </row>
    <row r="2" spans="1:7">
      <c r="A2" s="39">
        <v>1</v>
      </c>
      <c r="B2" s="39">
        <v>1</v>
      </c>
      <c r="C2" s="39" t="s">
        <v>1569</v>
      </c>
      <c r="D2" s="39" t="s">
        <v>1547</v>
      </c>
      <c r="E2" s="49">
        <v>46195</v>
      </c>
      <c r="F2" s="49">
        <v>46560</v>
      </c>
      <c r="G2" s="39" t="s">
        <v>796</v>
      </c>
    </row>
    <row r="3" spans="1:7">
      <c r="A3" s="39">
        <v>2</v>
      </c>
      <c r="B3" s="39">
        <v>2</v>
      </c>
      <c r="C3" s="39" t="s">
        <v>1570</v>
      </c>
      <c r="D3" s="39" t="s">
        <v>1547</v>
      </c>
      <c r="E3" s="49">
        <v>46195</v>
      </c>
      <c r="F3" s="49">
        <v>46560</v>
      </c>
      <c r="G3" s="39" t="s">
        <v>796</v>
      </c>
    </row>
    <row r="4" spans="1:7">
      <c r="A4" s="39">
        <v>3</v>
      </c>
      <c r="B4" s="39">
        <v>3</v>
      </c>
      <c r="C4" s="39" t="s">
        <v>1571</v>
      </c>
      <c r="D4" s="39" t="s">
        <v>1547</v>
      </c>
      <c r="E4" s="49">
        <v>46195</v>
      </c>
      <c r="F4" s="49">
        <v>46560</v>
      </c>
      <c r="G4" s="39" t="s">
        <v>796</v>
      </c>
    </row>
  </sheetData>
  <pageMargins left="0.75" right="0.75" top="1" bottom="1" header="0.5" footer="0.5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Planilha101">
    <tabColor rgb="FFD4AF37"/>
  </sheetPr>
  <dimension ref="A1:D7"/>
  <sheetViews>
    <sheetView workbookViewId="0"/>
  </sheetViews>
  <sheetFormatPr defaultRowHeight="14.4"/>
  <cols>
    <col min="1" max="1" width="6" customWidth="1"/>
    <col min="2" max="2" width="10" customWidth="1"/>
    <col min="3" max="3" width="22" customWidth="1"/>
    <col min="4" max="4" width="24" customWidth="1"/>
  </cols>
  <sheetData>
    <row r="1" spans="1:4">
      <c r="A1" s="67" t="s">
        <v>70</v>
      </c>
      <c r="B1" s="67" t="s">
        <v>96</v>
      </c>
      <c r="C1" s="67" t="s">
        <v>775</v>
      </c>
      <c r="D1" s="67" t="s">
        <v>180</v>
      </c>
    </row>
    <row r="2" spans="1:4">
      <c r="A2" s="39">
        <v>1</v>
      </c>
      <c r="B2" s="39">
        <v>1</v>
      </c>
      <c r="C2" s="39" t="s">
        <v>1572</v>
      </c>
      <c r="D2" s="39" t="s">
        <v>1546</v>
      </c>
    </row>
    <row r="3" spans="1:4">
      <c r="A3" s="39">
        <v>2</v>
      </c>
      <c r="B3" s="39">
        <v>1</v>
      </c>
      <c r="C3" s="39" t="s">
        <v>986</v>
      </c>
      <c r="D3" s="39" t="s">
        <v>987</v>
      </c>
    </row>
    <row r="4" spans="1:4">
      <c r="A4" s="39">
        <v>3</v>
      </c>
      <c r="B4" s="39">
        <v>1</v>
      </c>
      <c r="C4" s="39" t="s">
        <v>989</v>
      </c>
      <c r="D4" s="39" t="s">
        <v>1308</v>
      </c>
    </row>
    <row r="5" spans="1:4">
      <c r="A5" s="39">
        <v>4</v>
      </c>
      <c r="B5" s="39">
        <v>1</v>
      </c>
      <c r="C5" s="39" t="s">
        <v>1057</v>
      </c>
      <c r="D5" s="39" t="s">
        <v>1573</v>
      </c>
    </row>
    <row r="6" spans="1:4">
      <c r="A6" s="39">
        <v>5</v>
      </c>
      <c r="B6" s="39">
        <v>1</v>
      </c>
      <c r="C6" s="39" t="s">
        <v>1574</v>
      </c>
      <c r="D6" s="39" t="s">
        <v>1575</v>
      </c>
    </row>
    <row r="7" spans="1:4">
      <c r="A7" s="39">
        <v>6</v>
      </c>
      <c r="B7" s="39">
        <v>1</v>
      </c>
      <c r="C7" s="39" t="s">
        <v>966</v>
      </c>
      <c r="D7" s="39" t="s">
        <v>967</v>
      </c>
    </row>
  </sheetData>
  <pageMargins left="0.75" right="0.75" top="1" bottom="1" header="0.5" footer="0.5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Planilha102">
    <tabColor rgb="FFD4AF37"/>
  </sheetPr>
  <dimension ref="A1:I2"/>
  <sheetViews>
    <sheetView workbookViewId="0"/>
  </sheetViews>
  <sheetFormatPr defaultRowHeight="14.4"/>
  <cols>
    <col min="1" max="1" width="14" customWidth="1"/>
    <col min="2" max="2" width="20" customWidth="1"/>
    <col min="3" max="3" width="18" customWidth="1"/>
    <col min="4" max="4" width="28" customWidth="1"/>
    <col min="5" max="5" width="16" customWidth="1"/>
    <col min="6" max="6" width="24" customWidth="1"/>
    <col min="7" max="7" width="16" customWidth="1"/>
    <col min="8" max="8" width="28" customWidth="1"/>
    <col min="9" max="9" width="10" customWidth="1"/>
  </cols>
  <sheetData>
    <row r="1" spans="1:9">
      <c r="A1" s="67" t="s">
        <v>827</v>
      </c>
      <c r="B1" s="67" t="s">
        <v>98</v>
      </c>
      <c r="C1" s="67" t="s">
        <v>771</v>
      </c>
      <c r="D1" s="67" t="s">
        <v>779</v>
      </c>
      <c r="E1" s="67" t="s">
        <v>1576</v>
      </c>
      <c r="F1" s="67" t="s">
        <v>1438</v>
      </c>
      <c r="G1" s="67" t="s">
        <v>101</v>
      </c>
      <c r="H1" s="67" t="s">
        <v>1179</v>
      </c>
      <c r="I1" s="67" t="s">
        <v>106</v>
      </c>
    </row>
    <row r="2" spans="1:9">
      <c r="A2" s="39">
        <v>1</v>
      </c>
      <c r="B2" s="39" t="s">
        <v>812</v>
      </c>
      <c r="C2" s="39" t="s">
        <v>1577</v>
      </c>
      <c r="D2" s="39" t="s">
        <v>1578</v>
      </c>
      <c r="E2" s="39" t="s">
        <v>1579</v>
      </c>
      <c r="F2" s="39" t="s">
        <v>1580</v>
      </c>
      <c r="G2" s="39" t="s">
        <v>1581</v>
      </c>
      <c r="H2" s="39" t="s">
        <v>1582</v>
      </c>
      <c r="I2" s="39" t="s">
        <v>796</v>
      </c>
    </row>
  </sheetData>
  <pageMargins left="0.75" right="0.75" top="1" bottom="1" header="0.5" footer="0.5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Planilha103">
    <tabColor rgb="FFD4AF37"/>
  </sheetPr>
  <dimension ref="A1:K4"/>
  <sheetViews>
    <sheetView workbookViewId="0"/>
  </sheetViews>
  <sheetFormatPr defaultRowHeight="14.4"/>
  <cols>
    <col min="1" max="1" width="12" customWidth="1"/>
    <col min="2" max="2" width="14" customWidth="1"/>
    <col min="3" max="3" width="10" customWidth="1"/>
    <col min="4" max="4" width="20" customWidth="1"/>
    <col min="5" max="5" width="18" customWidth="1"/>
    <col min="6" max="6" width="14" customWidth="1"/>
    <col min="7" max="7" width="8" customWidth="1"/>
    <col min="8" max="8" width="14" customWidth="1"/>
    <col min="9" max="10" width="12" customWidth="1"/>
    <col min="11" max="11" width="10" customWidth="1"/>
  </cols>
  <sheetData>
    <row r="1" spans="1:11">
      <c r="A1" s="67" t="s">
        <v>828</v>
      </c>
      <c r="B1" s="67" t="s">
        <v>827</v>
      </c>
      <c r="C1" s="67" t="s">
        <v>96</v>
      </c>
      <c r="D1" s="67" t="s">
        <v>98</v>
      </c>
      <c r="E1" s="67" t="s">
        <v>824</v>
      </c>
      <c r="F1" s="67" t="s">
        <v>89</v>
      </c>
      <c r="G1" s="67" t="s">
        <v>781</v>
      </c>
      <c r="H1" s="67" t="s">
        <v>825</v>
      </c>
      <c r="I1" s="67" t="s">
        <v>1231</v>
      </c>
      <c r="J1" s="67" t="s">
        <v>1232</v>
      </c>
      <c r="K1" s="67" t="s">
        <v>106</v>
      </c>
    </row>
    <row r="2" spans="1:11">
      <c r="A2" s="39">
        <v>1</v>
      </c>
      <c r="B2" s="39">
        <v>1</v>
      </c>
      <c r="C2" s="39">
        <v>1</v>
      </c>
      <c r="D2" s="39" t="s">
        <v>1583</v>
      </c>
      <c r="E2" s="39" t="s">
        <v>1335</v>
      </c>
      <c r="F2" s="39" t="s">
        <v>90</v>
      </c>
      <c r="G2" s="39" t="s">
        <v>782</v>
      </c>
      <c r="H2" s="39" t="s">
        <v>1584</v>
      </c>
      <c r="I2" s="49">
        <v>45825</v>
      </c>
      <c r="J2" s="49">
        <v>47190</v>
      </c>
      <c r="K2" s="39" t="s">
        <v>120</v>
      </c>
    </row>
    <row r="3" spans="1:11">
      <c r="A3" s="39">
        <v>2</v>
      </c>
      <c r="B3" s="39">
        <v>1</v>
      </c>
      <c r="C3" s="39">
        <v>2</v>
      </c>
      <c r="D3" s="39" t="s">
        <v>1585</v>
      </c>
      <c r="E3" s="39" t="s">
        <v>1350</v>
      </c>
      <c r="F3" s="39" t="s">
        <v>1356</v>
      </c>
      <c r="G3" s="39" t="s">
        <v>782</v>
      </c>
      <c r="H3" s="39" t="s">
        <v>1586</v>
      </c>
      <c r="I3" s="49">
        <v>46025</v>
      </c>
      <c r="J3" s="49">
        <v>47390</v>
      </c>
      <c r="K3" s="39" t="s">
        <v>120</v>
      </c>
    </row>
    <row r="4" spans="1:11">
      <c r="A4" s="39">
        <v>3</v>
      </c>
      <c r="B4" s="39">
        <v>1</v>
      </c>
      <c r="C4" s="39">
        <v>3</v>
      </c>
      <c r="D4" s="39" t="s">
        <v>1587</v>
      </c>
      <c r="E4" s="39" t="s">
        <v>1360</v>
      </c>
      <c r="F4" s="39" t="s">
        <v>1366</v>
      </c>
      <c r="G4" s="39" t="s">
        <v>782</v>
      </c>
      <c r="H4" s="39" t="s">
        <v>1588</v>
      </c>
      <c r="I4" s="49">
        <v>46105</v>
      </c>
      <c r="J4" s="49">
        <v>47470</v>
      </c>
      <c r="K4" s="39" t="s">
        <v>120</v>
      </c>
    </row>
  </sheetData>
  <pageMargins left="0.75" right="0.75" top="1" bottom="1" header="0.5" footer="0.5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Planilha104">
    <tabColor rgb="FFD4AF37"/>
  </sheetPr>
  <dimension ref="A1:J4"/>
  <sheetViews>
    <sheetView workbookViewId="0"/>
  </sheetViews>
  <sheetFormatPr defaultRowHeight="14.4"/>
  <cols>
    <col min="1" max="1" width="6" customWidth="1"/>
    <col min="2" max="2" width="14" customWidth="1"/>
    <col min="3" max="3" width="12" customWidth="1"/>
    <col min="4" max="4" width="20" customWidth="1"/>
    <col min="5" max="6" width="14" customWidth="1"/>
    <col min="7" max="7" width="12" customWidth="1"/>
    <col min="8" max="8" width="10" customWidth="1"/>
    <col min="9" max="9" width="16" customWidth="1"/>
    <col min="10" max="10" width="10" customWidth="1"/>
  </cols>
  <sheetData>
    <row r="1" spans="1:10">
      <c r="A1" s="67" t="s">
        <v>70</v>
      </c>
      <c r="B1" s="67" t="s">
        <v>87</v>
      </c>
      <c r="C1" s="67" t="s">
        <v>828</v>
      </c>
      <c r="D1" s="67" t="s">
        <v>916</v>
      </c>
      <c r="E1" s="67" t="s">
        <v>1589</v>
      </c>
      <c r="F1" s="67" t="s">
        <v>1590</v>
      </c>
      <c r="G1" s="67" t="s">
        <v>1591</v>
      </c>
      <c r="H1" s="67" t="s">
        <v>1592</v>
      </c>
      <c r="I1" s="67" t="s">
        <v>1593</v>
      </c>
      <c r="J1" s="67" t="s">
        <v>106</v>
      </c>
    </row>
    <row r="2" spans="1:10">
      <c r="A2" s="39">
        <v>1</v>
      </c>
      <c r="B2" s="39" t="s">
        <v>1584</v>
      </c>
      <c r="C2" s="39">
        <v>1</v>
      </c>
      <c r="D2" s="39" t="s">
        <v>1583</v>
      </c>
      <c r="E2" s="49">
        <v>45825</v>
      </c>
      <c r="F2" s="49">
        <v>47190</v>
      </c>
      <c r="G2" s="39">
        <v>50000</v>
      </c>
      <c r="H2" s="39">
        <v>6</v>
      </c>
      <c r="I2" s="39">
        <v>2</v>
      </c>
      <c r="J2" s="39" t="s">
        <v>120</v>
      </c>
    </row>
    <row r="3" spans="1:10">
      <c r="A3" s="39">
        <v>2</v>
      </c>
      <c r="B3" s="39" t="s">
        <v>1586</v>
      </c>
      <c r="C3" s="39">
        <v>2</v>
      </c>
      <c r="D3" s="39" t="s">
        <v>1585</v>
      </c>
      <c r="E3" s="49">
        <v>46025</v>
      </c>
      <c r="F3" s="49">
        <v>47390</v>
      </c>
      <c r="G3" s="39">
        <v>45000</v>
      </c>
      <c r="H3" s="39">
        <v>6</v>
      </c>
      <c r="I3" s="39">
        <v>2</v>
      </c>
      <c r="J3" s="39" t="s">
        <v>120</v>
      </c>
    </row>
    <row r="4" spans="1:10">
      <c r="A4" s="39">
        <v>3</v>
      </c>
      <c r="B4" s="39" t="s">
        <v>1588</v>
      </c>
      <c r="C4" s="39">
        <v>3</v>
      </c>
      <c r="D4" s="39" t="s">
        <v>1587</v>
      </c>
      <c r="E4" s="49">
        <v>46105</v>
      </c>
      <c r="F4" s="49">
        <v>47470</v>
      </c>
      <c r="G4" s="39">
        <v>40000</v>
      </c>
      <c r="H4" s="39">
        <v>6</v>
      </c>
      <c r="I4" s="39">
        <v>2</v>
      </c>
      <c r="J4" s="39" t="s">
        <v>120</v>
      </c>
    </row>
  </sheetData>
  <pageMargins left="0.75" right="0.75" top="1" bottom="1" header="0.5" footer="0.5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Planilha105">
    <tabColor rgb="FFD4AF37"/>
  </sheetPr>
  <dimension ref="A1:J4"/>
  <sheetViews>
    <sheetView workbookViewId="0"/>
  </sheetViews>
  <sheetFormatPr defaultRowHeight="14.4"/>
  <cols>
    <col min="1" max="1" width="10" customWidth="1"/>
    <col min="2" max="2" width="12" customWidth="1"/>
    <col min="3" max="3" width="20" customWidth="1"/>
    <col min="4" max="5" width="12" customWidth="1"/>
    <col min="6" max="6" width="10" customWidth="1"/>
    <col min="7" max="7" width="12" customWidth="1"/>
    <col min="8" max="8" width="16" customWidth="1"/>
    <col min="9" max="9" width="14" customWidth="1"/>
    <col min="10" max="10" width="12" customWidth="1"/>
  </cols>
  <sheetData>
    <row r="1" spans="1:10">
      <c r="A1" s="67" t="s">
        <v>1594</v>
      </c>
      <c r="B1" s="67" t="s">
        <v>828</v>
      </c>
      <c r="C1" s="67" t="s">
        <v>916</v>
      </c>
      <c r="D1" s="67" t="s">
        <v>179</v>
      </c>
      <c r="E1" s="67" t="s">
        <v>1595</v>
      </c>
      <c r="F1" s="67" t="s">
        <v>1596</v>
      </c>
      <c r="G1" s="67" t="s">
        <v>1597</v>
      </c>
      <c r="H1" s="67" t="s">
        <v>1598</v>
      </c>
      <c r="I1" s="67" t="s">
        <v>1599</v>
      </c>
      <c r="J1" s="67" t="s">
        <v>106</v>
      </c>
    </row>
    <row r="2" spans="1:10">
      <c r="A2" s="39">
        <v>1</v>
      </c>
      <c r="B2" s="39">
        <v>1</v>
      </c>
      <c r="C2" s="39" t="s">
        <v>1583</v>
      </c>
      <c r="D2" s="49">
        <v>46204</v>
      </c>
      <c r="E2" s="39">
        <v>920000</v>
      </c>
      <c r="F2" s="39">
        <v>6</v>
      </c>
      <c r="G2" s="39">
        <v>55200</v>
      </c>
      <c r="H2" s="39">
        <v>2</v>
      </c>
      <c r="I2" s="39">
        <v>18400</v>
      </c>
      <c r="J2" s="39" t="s">
        <v>1600</v>
      </c>
    </row>
    <row r="3" spans="1:10">
      <c r="A3" s="39">
        <v>2</v>
      </c>
      <c r="B3" s="39">
        <v>2</v>
      </c>
      <c r="C3" s="39" t="s">
        <v>1585</v>
      </c>
      <c r="D3" s="49">
        <v>46204</v>
      </c>
      <c r="E3" s="39">
        <v>780000</v>
      </c>
      <c r="F3" s="39">
        <v>6</v>
      </c>
      <c r="G3" s="39">
        <v>46800</v>
      </c>
      <c r="H3" s="39">
        <v>2</v>
      </c>
      <c r="I3" s="39">
        <v>15600</v>
      </c>
      <c r="J3" s="39" t="s">
        <v>1600</v>
      </c>
    </row>
    <row r="4" spans="1:10">
      <c r="A4" s="39">
        <v>3</v>
      </c>
      <c r="B4" s="39">
        <v>3</v>
      </c>
      <c r="C4" s="39" t="s">
        <v>1587</v>
      </c>
      <c r="D4" s="49">
        <v>46204</v>
      </c>
      <c r="E4" s="39">
        <v>590000</v>
      </c>
      <c r="F4" s="39">
        <v>6</v>
      </c>
      <c r="G4" s="39">
        <v>35400</v>
      </c>
      <c r="H4" s="39">
        <v>2</v>
      </c>
      <c r="I4" s="39">
        <v>11800</v>
      </c>
      <c r="J4" s="39" t="s">
        <v>186</v>
      </c>
    </row>
  </sheetData>
  <pageMargins left="0.75" right="0.75" top="1" bottom="1" header="0.5" footer="0.5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Planilha106">
    <tabColor rgb="FFD4AF37"/>
  </sheetPr>
  <dimension ref="A1:L42"/>
  <sheetViews>
    <sheetView showGridLines="0" workbookViewId="0">
      <pane ySplit="9" topLeftCell="A10" activePane="bottomLeft" state="frozen"/>
      <selection pane="bottomLeft"/>
    </sheetView>
  </sheetViews>
  <sheetFormatPr defaultRowHeight="14.4"/>
  <cols>
    <col min="1" max="2" width="14" customWidth="1"/>
    <col min="3" max="3" width="12" customWidth="1"/>
    <col min="4" max="4" width="16" customWidth="1"/>
    <col min="5" max="7" width="14" customWidth="1"/>
    <col min="8" max="8" width="8" customWidth="1"/>
    <col min="9" max="9" width="4" customWidth="1"/>
    <col min="10" max="10" width="6" customWidth="1"/>
    <col min="11" max="11" width="40" customWidth="1"/>
    <col min="12" max="12" width="14" customWidth="1"/>
  </cols>
  <sheetData>
    <row r="1" spans="1:12">
      <c r="A1" s="81" t="s">
        <v>1601</v>
      </c>
      <c r="D1" s="81" t="s">
        <v>1602</v>
      </c>
      <c r="G1" s="81" t="s">
        <v>36</v>
      </c>
    </row>
    <row r="2" spans="1:12">
      <c r="A2" s="39" t="s">
        <v>1231</v>
      </c>
      <c r="B2" s="82">
        <v>46204</v>
      </c>
      <c r="D2" s="39" t="s">
        <v>1603</v>
      </c>
      <c r="E2" s="48">
        <v>0</v>
      </c>
      <c r="G2" s="39" t="s">
        <v>1604</v>
      </c>
      <c r="H2" s="39" t="s">
        <v>38</v>
      </c>
    </row>
    <row r="3" spans="1:12">
      <c r="A3" s="39" t="s">
        <v>1232</v>
      </c>
      <c r="B3" s="82">
        <v>46225</v>
      </c>
      <c r="D3" s="39" t="s">
        <v>1605</v>
      </c>
      <c r="E3" s="48">
        <v>0</v>
      </c>
      <c r="G3" s="39" t="s">
        <v>39</v>
      </c>
      <c r="H3" s="39" t="s">
        <v>38</v>
      </c>
    </row>
    <row r="4" spans="1:12">
      <c r="A4" s="39" t="s">
        <v>76</v>
      </c>
      <c r="B4" s="83" t="s">
        <v>1606</v>
      </c>
      <c r="D4" s="39" t="s">
        <v>60</v>
      </c>
      <c r="E4" s="48">
        <v>0</v>
      </c>
      <c r="G4" s="39" t="s">
        <v>1607</v>
      </c>
      <c r="H4" s="39" t="s">
        <v>38</v>
      </c>
    </row>
    <row r="5" spans="1:12">
      <c r="A5" s="39" t="s">
        <v>54</v>
      </c>
      <c r="B5" s="83" t="s">
        <v>1606</v>
      </c>
      <c r="D5" s="39" t="s">
        <v>1608</v>
      </c>
      <c r="E5" s="39">
        <v>0</v>
      </c>
      <c r="G5" s="39" t="s">
        <v>20</v>
      </c>
      <c r="H5" s="39" t="s">
        <v>38</v>
      </c>
    </row>
    <row r="6" spans="1:12">
      <c r="A6" s="39" t="s">
        <v>177</v>
      </c>
      <c r="B6" s="83" t="s">
        <v>1606</v>
      </c>
      <c r="D6" s="39" t="s">
        <v>1609</v>
      </c>
      <c r="E6" s="39">
        <v>0</v>
      </c>
    </row>
    <row r="7" spans="1:12">
      <c r="A7" s="39" t="s">
        <v>1083</v>
      </c>
      <c r="B7" s="83" t="s">
        <v>0</v>
      </c>
      <c r="D7" s="39" t="s">
        <v>42</v>
      </c>
      <c r="E7" s="39">
        <v>0</v>
      </c>
    </row>
    <row r="8" spans="1:12">
      <c r="D8" s="39" t="s">
        <v>39</v>
      </c>
      <c r="E8" s="77">
        <v>0</v>
      </c>
    </row>
    <row r="9" spans="1:12">
      <c r="D9" s="39" t="s">
        <v>1610</v>
      </c>
      <c r="E9" s="48">
        <v>0</v>
      </c>
    </row>
    <row r="10" spans="1:12">
      <c r="A10" s="84" t="s">
        <v>1611</v>
      </c>
      <c r="D10" s="39" t="s">
        <v>1604</v>
      </c>
      <c r="E10" s="77">
        <v>0</v>
      </c>
      <c r="F10" s="84" t="s">
        <v>1612</v>
      </c>
      <c r="J10" s="84" t="s">
        <v>1613</v>
      </c>
    </row>
    <row r="11" spans="1:12">
      <c r="A11" s="35" t="s">
        <v>53</v>
      </c>
      <c r="B11" s="35" t="s">
        <v>54</v>
      </c>
      <c r="C11" s="35" t="s">
        <v>16</v>
      </c>
      <c r="D11" s="35" t="s">
        <v>55</v>
      </c>
      <c r="E11" s="48">
        <v>0</v>
      </c>
      <c r="F11" t="s">
        <v>53</v>
      </c>
      <c r="G11" t="s">
        <v>76</v>
      </c>
      <c r="H11" t="s">
        <v>23</v>
      </c>
      <c r="J11" t="s">
        <v>12</v>
      </c>
      <c r="K11" t="s">
        <v>63</v>
      </c>
      <c r="L11" t="s">
        <v>64</v>
      </c>
    </row>
    <row r="12" spans="1:12">
      <c r="A12" s="39"/>
      <c r="B12" s="39"/>
      <c r="C12" s="39"/>
      <c r="D12" s="39" t="s">
        <v>1614</v>
      </c>
      <c r="E12" s="48">
        <v>0</v>
      </c>
      <c r="F12" s="39"/>
      <c r="G12" s="39"/>
      <c r="H12" s="39"/>
      <c r="J12" s="39"/>
      <c r="K12" s="39"/>
      <c r="L12" s="39"/>
    </row>
    <row r="13" spans="1:12">
      <c r="A13" s="39"/>
      <c r="B13" s="39"/>
      <c r="C13" s="39"/>
      <c r="D13" s="39" t="s">
        <v>1615</v>
      </c>
      <c r="E13" s="48">
        <v>0</v>
      </c>
      <c r="F13" s="39"/>
      <c r="G13" s="39"/>
      <c r="H13" s="39"/>
      <c r="J13" s="39"/>
      <c r="K13" s="39"/>
      <c r="L13" s="39"/>
    </row>
    <row r="14" spans="1:12">
      <c r="A14" s="39"/>
      <c r="B14" s="39"/>
      <c r="C14" s="39"/>
      <c r="D14" s="39" t="s">
        <v>1616</v>
      </c>
      <c r="E14" s="48">
        <v>0</v>
      </c>
      <c r="F14" s="39"/>
      <c r="G14" s="39"/>
      <c r="H14" s="39"/>
      <c r="J14" s="39"/>
      <c r="K14" s="39"/>
      <c r="L14" s="39"/>
    </row>
    <row r="15" spans="1:12">
      <c r="A15" s="39"/>
      <c r="B15" s="39"/>
      <c r="C15" s="39"/>
      <c r="D15" s="39" t="s">
        <v>1617</v>
      </c>
      <c r="E15" s="48">
        <v>0</v>
      </c>
      <c r="F15" s="39"/>
      <c r="G15" s="39"/>
      <c r="H15" s="39"/>
      <c r="J15" s="39"/>
      <c r="K15" s="39"/>
      <c r="L15" s="39"/>
    </row>
    <row r="16" spans="1:12">
      <c r="A16" s="39"/>
      <c r="B16" s="39"/>
      <c r="C16" s="39"/>
      <c r="D16" s="39" t="s">
        <v>1618</v>
      </c>
      <c r="E16" s="48">
        <v>0</v>
      </c>
      <c r="F16" s="39"/>
      <c r="G16" s="39"/>
      <c r="H16" s="39"/>
      <c r="J16" s="39"/>
      <c r="K16" s="39"/>
      <c r="L16" s="39"/>
    </row>
    <row r="17" spans="1:12">
      <c r="A17" s="39"/>
      <c r="B17" s="39"/>
      <c r="C17" s="39"/>
      <c r="D17" s="39" t="s">
        <v>1619</v>
      </c>
      <c r="E17" s="39">
        <v>0</v>
      </c>
      <c r="F17" s="39"/>
      <c r="G17" s="39"/>
      <c r="H17" s="39"/>
      <c r="J17" s="39"/>
      <c r="K17" s="39"/>
      <c r="L17" s="39"/>
    </row>
    <row r="18" spans="1:12">
      <c r="A18" s="39"/>
      <c r="B18" s="39"/>
      <c r="C18" s="39"/>
      <c r="D18" s="39" t="s">
        <v>1620</v>
      </c>
      <c r="E18" s="39">
        <v>0</v>
      </c>
      <c r="F18" s="39"/>
      <c r="G18" s="39"/>
      <c r="H18" s="39"/>
      <c r="J18" s="39"/>
      <c r="K18" s="39"/>
      <c r="L18" s="39"/>
    </row>
    <row r="19" spans="1:12">
      <c r="A19" s="39"/>
      <c r="B19" s="39"/>
      <c r="C19" s="39"/>
      <c r="D19" s="39" t="s">
        <v>1621</v>
      </c>
      <c r="E19" s="39">
        <v>0</v>
      </c>
      <c r="F19" s="39"/>
      <c r="G19" s="39"/>
      <c r="H19" s="39"/>
      <c r="J19" s="39"/>
      <c r="K19" s="39"/>
      <c r="L19" s="39"/>
    </row>
    <row r="20" spans="1:12">
      <c r="A20" s="39"/>
      <c r="B20" s="39"/>
      <c r="C20" s="39"/>
      <c r="D20" s="39" t="s">
        <v>1622</v>
      </c>
      <c r="E20" s="77">
        <v>0</v>
      </c>
      <c r="F20" s="39"/>
      <c r="G20" s="39"/>
      <c r="H20" s="39"/>
      <c r="J20" s="39"/>
      <c r="K20" s="39"/>
      <c r="L20" s="39"/>
    </row>
    <row r="21" spans="1:12">
      <c r="A21" s="39"/>
      <c r="B21" s="39"/>
      <c r="C21" s="39"/>
      <c r="D21" s="39" t="s">
        <v>1623</v>
      </c>
      <c r="E21" s="39">
        <v>0</v>
      </c>
      <c r="F21" s="39"/>
      <c r="G21" s="39"/>
      <c r="H21" s="39"/>
      <c r="J21" s="39"/>
      <c r="K21" s="39"/>
      <c r="L21" s="39"/>
    </row>
    <row r="22" spans="1:12">
      <c r="D22" s="39" t="s">
        <v>1624</v>
      </c>
      <c r="E22" s="39">
        <v>0</v>
      </c>
    </row>
    <row r="23" spans="1:12">
      <c r="D23" s="39" t="s">
        <v>633</v>
      </c>
      <c r="E23" s="39">
        <v>0</v>
      </c>
    </row>
    <row r="24" spans="1:12">
      <c r="A24" s="84" t="s">
        <v>1625</v>
      </c>
      <c r="D24" s="39" t="s">
        <v>1626</v>
      </c>
      <c r="E24" s="39">
        <v>0</v>
      </c>
    </row>
    <row r="25" spans="1:12">
      <c r="A25" s="35" t="s">
        <v>57</v>
      </c>
      <c r="B25" s="35" t="s">
        <v>58</v>
      </c>
      <c r="C25" s="35" t="s">
        <v>59</v>
      </c>
      <c r="D25" s="35" t="s">
        <v>60</v>
      </c>
      <c r="E25" s="85" t="s">
        <v>23</v>
      </c>
    </row>
    <row r="26" spans="1:12">
      <c r="A26" s="39" t="s">
        <v>380</v>
      </c>
      <c r="B26" s="48">
        <v>0</v>
      </c>
      <c r="C26" s="48">
        <v>0</v>
      </c>
      <c r="D26" s="48">
        <v>0</v>
      </c>
      <c r="E26" s="39">
        <v>0</v>
      </c>
    </row>
    <row r="27" spans="1:12">
      <c r="A27" s="39" t="s">
        <v>381</v>
      </c>
      <c r="B27" s="48">
        <v>0</v>
      </c>
      <c r="C27" s="48">
        <v>0</v>
      </c>
      <c r="D27" s="48">
        <v>0</v>
      </c>
      <c r="E27" s="39">
        <v>0</v>
      </c>
    </row>
    <row r="28" spans="1:12">
      <c r="A28" s="39" t="s">
        <v>382</v>
      </c>
      <c r="B28" s="48">
        <v>0</v>
      </c>
      <c r="C28" s="48">
        <v>0</v>
      </c>
      <c r="D28" s="48">
        <v>0</v>
      </c>
      <c r="E28" s="39">
        <v>0</v>
      </c>
    </row>
    <row r="29" spans="1:12">
      <c r="A29" s="39" t="s">
        <v>383</v>
      </c>
      <c r="B29" s="48">
        <v>0</v>
      </c>
      <c r="C29" s="48">
        <v>0</v>
      </c>
      <c r="D29" s="48">
        <v>0</v>
      </c>
      <c r="E29" s="39">
        <v>0</v>
      </c>
    </row>
    <row r="30" spans="1:12">
      <c r="A30" s="39" t="s">
        <v>384</v>
      </c>
      <c r="B30" s="48">
        <v>0</v>
      </c>
      <c r="C30" s="48">
        <v>0</v>
      </c>
      <c r="D30" s="48">
        <v>0</v>
      </c>
      <c r="E30" s="39">
        <v>0</v>
      </c>
    </row>
    <row r="31" spans="1:12">
      <c r="A31" s="39" t="s">
        <v>385</v>
      </c>
      <c r="B31" s="48">
        <v>0</v>
      </c>
      <c r="C31" s="48">
        <v>0</v>
      </c>
      <c r="D31" s="48">
        <v>0</v>
      </c>
      <c r="E31" s="39">
        <v>0</v>
      </c>
    </row>
    <row r="32" spans="1:12">
      <c r="D32" s="39" t="s">
        <v>1627</v>
      </c>
      <c r="E32" s="39">
        <v>0</v>
      </c>
    </row>
    <row r="33" spans="4:5">
      <c r="D33" s="39" t="s">
        <v>1628</v>
      </c>
      <c r="E33" s="39">
        <v>0</v>
      </c>
    </row>
    <row r="34" spans="4:5">
      <c r="D34" s="39" t="s">
        <v>1629</v>
      </c>
      <c r="E34" s="39">
        <v>0</v>
      </c>
    </row>
    <row r="35" spans="4:5">
      <c r="D35" s="39" t="s">
        <v>1630</v>
      </c>
      <c r="E35" s="39">
        <v>0</v>
      </c>
    </row>
    <row r="36" spans="4:5">
      <c r="D36" s="39" t="s">
        <v>1631</v>
      </c>
      <c r="E36" s="39">
        <v>0</v>
      </c>
    </row>
    <row r="37" spans="4:5">
      <c r="D37" s="39" t="s">
        <v>641</v>
      </c>
      <c r="E37" s="39">
        <v>0</v>
      </c>
    </row>
    <row r="38" spans="4:5">
      <c r="D38" s="39" t="s">
        <v>642</v>
      </c>
      <c r="E38" s="39">
        <v>0</v>
      </c>
    </row>
    <row r="39" spans="4:5">
      <c r="D39" s="39" t="s">
        <v>1632</v>
      </c>
      <c r="E39" s="39">
        <v>0</v>
      </c>
    </row>
    <row r="40" spans="4:5">
      <c r="D40" s="39" t="s">
        <v>1633</v>
      </c>
      <c r="E40" s="39">
        <v>0</v>
      </c>
    </row>
    <row r="41" spans="4:5">
      <c r="D41" s="39" t="s">
        <v>1634</v>
      </c>
      <c r="E41" s="48">
        <v>0</v>
      </c>
    </row>
    <row r="42" spans="4:5">
      <c r="D42" s="39" t="s">
        <v>1635</v>
      </c>
      <c r="E42" s="48">
        <v>0</v>
      </c>
    </row>
  </sheetData>
  <pageMargins left="0.75" right="0.75" top="1" bottom="1" header="0.5" footer="0.5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Planilha107">
    <tabColor rgb="FFD4AF37"/>
  </sheetPr>
  <dimension ref="A1:C18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10" customWidth="1"/>
    <col min="2" max="2" width="12" customWidth="1"/>
    <col min="3" max="3" width="60" customWidth="1"/>
  </cols>
  <sheetData>
    <row r="1" spans="1:3">
      <c r="A1" s="35" t="s">
        <v>1268</v>
      </c>
      <c r="B1" s="35" t="s">
        <v>217</v>
      </c>
      <c r="C1" s="35" t="s">
        <v>1636</v>
      </c>
    </row>
    <row r="2" spans="1:3">
      <c r="A2" s="39" t="s">
        <v>1637</v>
      </c>
      <c r="B2" s="49">
        <v>46224</v>
      </c>
      <c r="C2" s="39" t="s">
        <v>1638</v>
      </c>
    </row>
    <row r="3" spans="1:3">
      <c r="A3" s="39" t="s">
        <v>1639</v>
      </c>
      <c r="B3" s="49">
        <v>46224</v>
      </c>
      <c r="C3" s="39" t="s">
        <v>1640</v>
      </c>
    </row>
    <row r="4" spans="1:3">
      <c r="A4" s="39" t="s">
        <v>1641</v>
      </c>
      <c r="B4" s="49">
        <v>46224</v>
      </c>
      <c r="C4" s="39" t="s">
        <v>1642</v>
      </c>
    </row>
    <row r="5" spans="1:3">
      <c r="A5" s="39" t="s">
        <v>1643</v>
      </c>
      <c r="B5" s="49">
        <v>46224</v>
      </c>
      <c r="C5" s="39" t="s">
        <v>1644</v>
      </c>
    </row>
    <row r="6" spans="1:3">
      <c r="A6" s="39" t="s">
        <v>1645</v>
      </c>
      <c r="B6" s="49">
        <v>46224</v>
      </c>
      <c r="C6" s="39" t="s">
        <v>1646</v>
      </c>
    </row>
    <row r="7" spans="1:3">
      <c r="A7" s="39" t="s">
        <v>1647</v>
      </c>
      <c r="B7" s="49">
        <v>46224</v>
      </c>
      <c r="C7" s="39" t="s">
        <v>1648</v>
      </c>
    </row>
    <row r="8" spans="1:3">
      <c r="A8" s="39" t="s">
        <v>1649</v>
      </c>
      <c r="B8" s="49">
        <v>46225</v>
      </c>
      <c r="C8" s="39" t="s">
        <v>1650</v>
      </c>
    </row>
    <row r="9" spans="1:3">
      <c r="A9" s="39" t="s">
        <v>1651</v>
      </c>
      <c r="B9" s="49">
        <v>46225</v>
      </c>
      <c r="C9" s="39" t="s">
        <v>1652</v>
      </c>
    </row>
    <row r="10" spans="1:3">
      <c r="A10" s="39" t="s">
        <v>1653</v>
      </c>
      <c r="B10" s="49">
        <v>46225</v>
      </c>
      <c r="C10" s="39" t="s">
        <v>1654</v>
      </c>
    </row>
    <row r="11" spans="1:3">
      <c r="A11" s="39" t="s">
        <v>1655</v>
      </c>
      <c r="B11" s="49">
        <v>46225</v>
      </c>
      <c r="C11" s="39" t="s">
        <v>1656</v>
      </c>
    </row>
    <row r="12" spans="1:3">
      <c r="A12" s="39" t="s">
        <v>1657</v>
      </c>
      <c r="B12" s="49">
        <v>46225</v>
      </c>
      <c r="C12" s="39" t="s">
        <v>1658</v>
      </c>
    </row>
    <row r="13" spans="1:3">
      <c r="A13" s="39" t="s">
        <v>1659</v>
      </c>
      <c r="B13" s="49">
        <v>46225</v>
      </c>
      <c r="C13" s="39" t="s">
        <v>1660</v>
      </c>
    </row>
    <row r="14" spans="1:3">
      <c r="A14" s="39" t="s">
        <v>1661</v>
      </c>
      <c r="B14" s="49">
        <v>46225</v>
      </c>
      <c r="C14" s="39" t="s">
        <v>1662</v>
      </c>
    </row>
    <row r="15" spans="1:3">
      <c r="A15" s="39" t="s">
        <v>1663</v>
      </c>
      <c r="B15" s="49">
        <v>46225</v>
      </c>
      <c r="C15" s="39" t="s">
        <v>1664</v>
      </c>
    </row>
    <row r="16" spans="1:3">
      <c r="A16" s="39" t="s">
        <v>971</v>
      </c>
      <c r="B16" s="49">
        <v>46225</v>
      </c>
      <c r="C16" s="39" t="s">
        <v>1665</v>
      </c>
    </row>
    <row r="17" spans="1:3">
      <c r="A17" s="39" t="s">
        <v>1666</v>
      </c>
      <c r="B17" s="49">
        <v>46225</v>
      </c>
      <c r="C17" s="39" t="s">
        <v>1667</v>
      </c>
    </row>
    <row r="18" spans="1:3">
      <c r="A18" s="39" t="s">
        <v>1668</v>
      </c>
      <c r="B18" s="49">
        <v>46225</v>
      </c>
      <c r="C18" s="39" t="s">
        <v>1669</v>
      </c>
    </row>
  </sheetData>
  <pageMargins left="0.75" right="0.75" top="1" bottom="1" header="0.5" footer="0.5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Planilha108">
    <tabColor rgb="FFA3001E"/>
  </sheetPr>
  <dimension ref="A1:I1"/>
  <sheetViews>
    <sheetView showGridLines="0" workbookViewId="0">
      <pane ySplit="1" topLeftCell="A2" activePane="bottomLeft" state="frozen"/>
      <selection pane="bottomLeft"/>
    </sheetView>
  </sheetViews>
  <sheetFormatPr defaultRowHeight="14.4"/>
  <cols>
    <col min="1" max="1" width="12" customWidth="1"/>
    <col min="2" max="2" width="10" customWidth="1"/>
    <col min="3" max="5" width="14" customWidth="1"/>
    <col min="6" max="6" width="28" customWidth="1"/>
    <col min="7" max="7" width="20" customWidth="1"/>
    <col min="8" max="8" width="16" customWidth="1"/>
    <col min="9" max="9" width="10" customWidth="1"/>
  </cols>
  <sheetData>
    <row r="1" spans="1:9">
      <c r="A1" s="35" t="s">
        <v>217</v>
      </c>
      <c r="B1" s="35" t="s">
        <v>26</v>
      </c>
      <c r="C1" s="35" t="s">
        <v>898</v>
      </c>
      <c r="D1" s="35" t="s">
        <v>900</v>
      </c>
      <c r="E1" s="35" t="s">
        <v>17</v>
      </c>
      <c r="F1" s="35" t="s">
        <v>13</v>
      </c>
      <c r="G1" s="35" t="s">
        <v>1670</v>
      </c>
      <c r="H1" s="35" t="s">
        <v>1671</v>
      </c>
      <c r="I1" s="35" t="s">
        <v>1268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43</vt:i4>
      </vt:variant>
    </vt:vector>
  </HeadingPairs>
  <TitlesOfParts>
    <vt:vector size="43" baseType="lpstr">
      <vt:lpstr>00_LOGIN</vt:lpstr>
      <vt:lpstr>21_HOME</vt:lpstr>
      <vt:lpstr>01_DASHBOARD</vt:lpstr>
      <vt:lpstr>FORM_ALUNO</vt:lpstr>
      <vt:lpstr>02_ALUNOS</vt:lpstr>
      <vt:lpstr>03_MENSALIDADES</vt:lpstr>
      <vt:lpstr>04_FINANCEIRO</vt:lpstr>
      <vt:lpstr>05_FLUXO_CAIXA</vt:lpstr>
      <vt:lpstr>06_CONTAS_RECEBER</vt:lpstr>
      <vt:lpstr>07_CONTAS_PAGAR</vt:lpstr>
      <vt:lpstr>08_PROFESSORES</vt:lpstr>
      <vt:lpstr>09_ESTOQUE</vt:lpstr>
      <vt:lpstr>10_EQUIPAMENTOS</vt:lpstr>
      <vt:lpstr>11_AVALIACAO</vt:lpstr>
      <vt:lpstr>12_PRESENCA</vt:lpstr>
      <vt:lpstr>13_DASH_FINANCEIRO</vt:lpstr>
      <vt:lpstr>14_DASH_COMERCIAL</vt:lpstr>
      <vt:lpstr>17_DASH_PROFESSORES</vt:lpstr>
      <vt:lpstr>18_DASH_ESTOQUE</vt:lpstr>
      <vt:lpstr>19_DASH_EQUIPAMENTOS</vt:lpstr>
      <vt:lpstr>20_AGENDA</vt:lpstr>
      <vt:lpstr>22_CRM</vt:lpstr>
      <vt:lpstr>23_DASH_CRM</vt:lpstr>
      <vt:lpstr>24_AVALIACAO</vt:lpstr>
      <vt:lpstr>25_TREINOS</vt:lpstr>
      <vt:lpstr>26_ACESSO</vt:lpstr>
      <vt:lpstr>27_DASH_FREQUENCIA</vt:lpstr>
      <vt:lpstr>28_PDV</vt:lpstr>
      <vt:lpstr>29_INVENTARIO</vt:lpstr>
      <vt:lpstr>30_DASH_PDV</vt:lpstr>
      <vt:lpstr>31_BI_EXECUTIVO</vt:lpstr>
      <vt:lpstr>32_INSIGHTS</vt:lpstr>
      <vt:lpstr>33_PORTAL_ALUNO</vt:lpstr>
      <vt:lpstr>34_PORTAL_PROF</vt:lpstr>
      <vt:lpstr>35_PORTAL_OPS</vt:lpstr>
      <vt:lpstr>36_ATHENA_AI</vt:lpstr>
      <vt:lpstr>37_RECOMENDACOES</vt:lpstr>
      <vt:lpstr>38_MASTER</vt:lpstr>
      <vt:lpstr>39_NOVA_ACADEMIA</vt:lpstr>
      <vt:lpstr>40_UNIDADES</vt:lpstr>
      <vt:lpstr>41_FRANQUEADORA</vt:lpstr>
      <vt:lpstr>16_RELATORIOS</vt:lpstr>
      <vt:lpstr>15_CONFIG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Renan illipronti</cp:lastModifiedBy>
  <dcterms:created xsi:type="dcterms:W3CDTF">2026-07-22T17:39:27Z</dcterms:created>
  <dcterms:modified xsi:type="dcterms:W3CDTF">2026-07-22T17:42:12Z</dcterms:modified>
</cp:coreProperties>
</file>